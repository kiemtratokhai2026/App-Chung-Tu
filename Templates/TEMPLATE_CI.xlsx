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I_Automation_Belt_Feilizhou\Output\"/>
    </mc:Choice>
  </mc:AlternateContent>
  <xr:revisionPtr revIDLastSave="0" documentId="8_{2BA415B5-8460-47FC-978B-C359BFC18C30}" xr6:coauthVersionLast="47" xr6:coauthVersionMax="47" xr10:uidLastSave="{00000000-0000-0000-0000-000000000000}"/>
  <bookViews>
    <workbookView xWindow="-120" yWindow="-120" windowWidth="29040" windowHeight="15720" xr2:uid="{B27D3B24-E60A-43F3-9AD4-18456E5C0B93}"/>
  </bookViews>
  <sheets>
    <sheet name="IN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2" i="1" l="1"/>
  <c r="F122" i="1"/>
  <c r="H119" i="1"/>
  <c r="F119" i="1"/>
  <c r="H116" i="1"/>
  <c r="F116" i="1"/>
  <c r="H110" i="1"/>
  <c r="F110" i="1"/>
  <c r="H60" i="1"/>
  <c r="F60" i="1"/>
  <c r="H50" i="1"/>
  <c r="F50" i="1"/>
  <c r="H13" i="1"/>
  <c r="F13" i="1"/>
</calcChain>
</file>

<file path=xl/sharedStrings.xml><?xml version="1.0" encoding="utf-8"?>
<sst xmlns="http://schemas.openxmlformats.org/spreadsheetml/2006/main" count="450" uniqueCount="423">
  <si>
    <t>TAIZHOU FEILIZHOU RUBBER-BELT CO.,LTD</t>
  </si>
  <si>
    <t>COMMERCIAL INVOICE</t>
  </si>
  <si>
    <t>INVOICE NO.: FLZ260717K4</t>
  </si>
  <si>
    <t>DATE: SEP 4, 2026</t>
  </si>
  <si>
    <t>TO: KIEN THANH TIN CO.,LTD</t>
  </si>
  <si>
    <t>FROM: TAIZHOU FEILIZHOU RUBBER-BELT CO.,LTD</t>
  </si>
  <si>
    <t>ADD: NO 30 STREET 5, BINH PHU WARD,</t>
  </si>
  <si>
    <t xml:space="preserve">ADD: HUCUN VILLAGE, ZHUAO TOWN, SANMEN COUNTY, </t>
  </si>
  <si>
    <t>HO CHI MINH CITY, 700000 VIETNAM</t>
  </si>
  <si>
    <t>ZHEJIANG PROVINCE, CHINA</t>
  </si>
  <si>
    <t>TEL: +84 28 3876 6636   FAX: +84 28 3853 8044</t>
  </si>
  <si>
    <t>TEL: 0086 576 83118719   FAX: 0086 576 83180719</t>
  </si>
  <si>
    <t>TAX CODE: 0311814107</t>
  </si>
  <si>
    <t>EMAIL: feilizhou1@feilizhou.com   CONTACT: Elena</t>
  </si>
  <si>
    <t>We hearby confirm having sold to you the following goods on the terms and conditions:</t>
  </si>
  <si>
    <t>USD FOB NINGBO, CHINA (INCOTERMS 2020)</t>
  </si>
  <si>
    <t>NO.</t>
  </si>
  <si>
    <t>DESCRIPTION</t>
  </si>
  <si>
    <t>BELT TYPE</t>
  </si>
  <si>
    <t>SIZE
(INCH)</t>
  </si>
  <si>
    <t>SIZE
(CM)</t>
  </si>
  <si>
    <t>QUANTITY</t>
  </si>
  <si>
    <t>PCS/CTN</t>
  </si>
  <si>
    <t>CARTON</t>
  </si>
  <si>
    <t>Unit Price
(USD)</t>
  </si>
  <si>
    <t>Amount
(USD)</t>
  </si>
  <si>
    <t>MÃ MISA</t>
  </si>
  <si>
    <t>TÊN HÀNG</t>
  </si>
  <si>
    <t>SỐ LÔ / LOT NUMBER</t>
  </si>
  <si>
    <t>HS CODE</t>
  </si>
  <si>
    <t>RUBBER BELT (V-RIBBED) TAKA PRO RECMF-8 FROM 60CM TO 180CM</t>
  </si>
  <si>
    <t>Rubber Belt (V-Ribbed) TAKA PRO RECMF-8320</t>
  </si>
  <si>
    <t>RECMF-8320</t>
  </si>
  <si>
    <t>CR.BR.032.TAPRO</t>
  </si>
  <si>
    <t>TAKA PRO răng B32</t>
  </si>
  <si>
    <t>Rubber Belt (V-Ribbed) TAKA PRO RECMF-8330</t>
  </si>
  <si>
    <t>RECMF-8330</t>
  </si>
  <si>
    <t>CR.BR.033.TAPRO</t>
  </si>
  <si>
    <t>TAKA PRO răng B33</t>
  </si>
  <si>
    <t>Rubber Belt (V-Ribbed) TAKA PRO RECMF-8340</t>
  </si>
  <si>
    <t>RECMF-8340</t>
  </si>
  <si>
    <t>CR.BR.034.TAPRO</t>
  </si>
  <si>
    <t>TAKA PRO răng B34</t>
  </si>
  <si>
    <t>Rubber Belt (V-Ribbed) TAKA PRO RECMF-8350</t>
  </si>
  <si>
    <t>RECMF-8350</t>
  </si>
  <si>
    <t>CR.BR.035.TAPRO</t>
  </si>
  <si>
    <t>TAKA PRO răng B35</t>
  </si>
  <si>
    <t>Rubber Belt (V-Ribbed) TAKA PRO RECMF-8360</t>
  </si>
  <si>
    <t>RECMF-8360</t>
  </si>
  <si>
    <t>CR.BR.036.TAPRO</t>
  </si>
  <si>
    <t>TAKA PRO răng B36</t>
  </si>
  <si>
    <t>Rubber Belt (V-Ribbed) TAKA PRO RECMF-8370</t>
  </si>
  <si>
    <t>RECMF-8370</t>
  </si>
  <si>
    <t>CR.BR.037.TAPRO</t>
  </si>
  <si>
    <t>TAKA PRO răng B37</t>
  </si>
  <si>
    <t>Rubber Belt (V-Ribbed) TAKA PRO RECMF-8380</t>
  </si>
  <si>
    <t>RECMF-8380</t>
  </si>
  <si>
    <t>CR.BR.038.TAPRO</t>
  </si>
  <si>
    <t>TAKA PRO răng B38</t>
  </si>
  <si>
    <t>Rubber Belt (V-Ribbed) TAKA PRO RECMF-8390</t>
  </si>
  <si>
    <t>RECMF-8390</t>
  </si>
  <si>
    <t>CR.BR.039.TAPRO</t>
  </si>
  <si>
    <t>TAKA PRO răng B39</t>
  </si>
  <si>
    <t>Rubber Belt (V-Ribbed) TAKA PRO RECMF-8400</t>
  </si>
  <si>
    <t>RECMF-8400</t>
  </si>
  <si>
    <t>CR.BR.040.TAPRO</t>
  </si>
  <si>
    <t>TAKA PRO răng B40</t>
  </si>
  <si>
    <t>Rubber Belt (V-Ribbed) TAKA PRO RECMF-8410</t>
  </si>
  <si>
    <t>RECMF-8410</t>
  </si>
  <si>
    <t>CR.BR.041.TAPRO</t>
  </si>
  <si>
    <t>TAKA PRO răng B41</t>
  </si>
  <si>
    <t>Rubber Belt (V-Ribbed) TAKA PRO RECMF-8420</t>
  </si>
  <si>
    <t>RECMF-8420</t>
  </si>
  <si>
    <t>CR.BR.042.TAPRO</t>
  </si>
  <si>
    <t>TAKA PRO răng B42</t>
  </si>
  <si>
    <t>Rubber Belt (V-Ribbed) TAKA PRO RECMF-8430</t>
  </si>
  <si>
    <t>RECMF-8430</t>
  </si>
  <si>
    <t>CR.BR.043.TAPRO</t>
  </si>
  <si>
    <t>TAKA PRO răng B43</t>
  </si>
  <si>
    <t>Rubber Belt (V-Ribbed) TAKA PRO RECMF-8440</t>
  </si>
  <si>
    <t>RECMF-8440</t>
  </si>
  <si>
    <t>CR.BR.044.TAPRO</t>
  </si>
  <si>
    <t>TAKA PRO răng B44</t>
  </si>
  <si>
    <t>Rubber Belt (V-Ribbed) TAKA PRO RECMF-8450</t>
  </si>
  <si>
    <t>RECMF-8450</t>
  </si>
  <si>
    <t>CR.BR.045.TAPRO</t>
  </si>
  <si>
    <t>TAKA PRO răng B45</t>
  </si>
  <si>
    <t>Rubber Belt (V-Ribbed) TAKA PRO RECMF-8460</t>
  </si>
  <si>
    <t>RECMF-8460</t>
  </si>
  <si>
    <t>CR.BR.046.TAPRO</t>
  </si>
  <si>
    <t>TAKA PRO răng B46</t>
  </si>
  <si>
    <t>Rubber Belt (V-Ribbed) TAKA PRO RECMF-8470</t>
  </si>
  <si>
    <t>RECMF-8470</t>
  </si>
  <si>
    <t>CR.BR.047.TAPRO</t>
  </si>
  <si>
    <t>TAKA PRO răng B47</t>
  </si>
  <si>
    <t>Rubber Belt (V-Ribbed) TAKA PRO RECMF-8480</t>
  </si>
  <si>
    <t>RECMF-8480</t>
  </si>
  <si>
    <t>CR.BR.048.TAPRO</t>
  </si>
  <si>
    <t>TAKA PRO răng B48</t>
  </si>
  <si>
    <t>Rubber Belt (V-Ribbed) TAKA PRO RECMF-8490</t>
  </si>
  <si>
    <t>RECMF-8490</t>
  </si>
  <si>
    <t>CR.BR.049.TAPRO</t>
  </si>
  <si>
    <t>TAKA PRO răng B49</t>
  </si>
  <si>
    <t>Rubber Belt (V-Ribbed) TAKA PRO RECMF-8500</t>
  </si>
  <si>
    <t>RECMF-8500</t>
  </si>
  <si>
    <t>CR.BR.050.TAPRO</t>
  </si>
  <si>
    <t>TAKA PRO răng B50</t>
  </si>
  <si>
    <t>Rubber Belt (V-Ribbed) TAKA PRO RECMF-8510</t>
  </si>
  <si>
    <t>RECMF-8510</t>
  </si>
  <si>
    <t>CR.BR.051.TAPRO</t>
  </si>
  <si>
    <t>TAKA PRO răng B51</t>
  </si>
  <si>
    <t>Rubber Belt (V-Ribbed) TAKA PRO RECMF-8520</t>
  </si>
  <si>
    <t>RECMF-8520</t>
  </si>
  <si>
    <t>CR.BR.052.TAPRO</t>
  </si>
  <si>
    <t>TAKA PRO răng B52</t>
  </si>
  <si>
    <t>Rubber Belt (V-Ribbed) TAKA PRO RECMF-8530</t>
  </si>
  <si>
    <t>RECMF-8530</t>
  </si>
  <si>
    <t>CR.BR.053.TAPRO</t>
  </si>
  <si>
    <t>TAKA PRO răng B53</t>
  </si>
  <si>
    <t>Rubber Belt (V-Ribbed) TAKA PRO RECMF-8540</t>
  </si>
  <si>
    <t>RECMF-8540</t>
  </si>
  <si>
    <t>CR.BR.054.TAPRO</t>
  </si>
  <si>
    <t>TAKA PRO răng B54</t>
  </si>
  <si>
    <t>Rubber Belt (V-Ribbed) TAKA PRO RECMF-8550</t>
  </si>
  <si>
    <t>RECMF-8550</t>
  </si>
  <si>
    <t>CR.BR.055.TAPRO</t>
  </si>
  <si>
    <t>TAKA PRO răng B55</t>
  </si>
  <si>
    <t>Rubber Belt (V-Ribbed) TAKA PRO RECMF-8560</t>
  </si>
  <si>
    <t>RECMF-8560</t>
  </si>
  <si>
    <t>CR.BR.056.TAPRO</t>
  </si>
  <si>
    <t>TAKA PRO răng B56</t>
  </si>
  <si>
    <t>Rubber Belt (V-Ribbed) TAKA PRO RECMF-8580</t>
  </si>
  <si>
    <t>RECMF-8580</t>
  </si>
  <si>
    <t>CR.BR.058.TAPRO</t>
  </si>
  <si>
    <t>TAKA PRO răng B58</t>
  </si>
  <si>
    <t>Rubber Belt (V-Ribbed) TAKA PRO RECMF-8590</t>
  </si>
  <si>
    <t>RECMF-8590</t>
  </si>
  <si>
    <t>CR.BR.059.TAPRO</t>
  </si>
  <si>
    <t>TAKA PRO răng B59</t>
  </si>
  <si>
    <t>Rubber Belt (V-Ribbed) TAKA PRO RECMF-8600</t>
  </si>
  <si>
    <t>RECMF-8600</t>
  </si>
  <si>
    <t>CR.BR.060.TAPRO</t>
  </si>
  <si>
    <t>TAKA PRO răng B60</t>
  </si>
  <si>
    <t>Rubber Belt (V-Ribbed) TAKA PRO RECMF-8610</t>
  </si>
  <si>
    <t>RECMF-8610</t>
  </si>
  <si>
    <t>CR.BR.061.TAPRO</t>
  </si>
  <si>
    <t>TAKA PRO răng B61</t>
  </si>
  <si>
    <t>Rubber Belt (V-Ribbed) TAKA PRO RECMF-8620</t>
  </si>
  <si>
    <t>RECMF-8620</t>
  </si>
  <si>
    <t>CR.BR.062.TAPRO</t>
  </si>
  <si>
    <t>TAKA PRO răng B62</t>
  </si>
  <si>
    <t>Rubber Belt (V-Ribbed) TAKA PRO RECMF-8630</t>
  </si>
  <si>
    <t>RECMF-8630</t>
  </si>
  <si>
    <t>CR.BR.063.TAPRO</t>
  </si>
  <si>
    <t>TAKA PRO răng B63</t>
  </si>
  <si>
    <t>Rubber Belt (V-Ribbed) TAKA PRO RECMF-8650</t>
  </si>
  <si>
    <t>RECMF-8650</t>
  </si>
  <si>
    <t>CR.BR.065.TAPRO</t>
  </si>
  <si>
    <t>TAKA PRO răng B65</t>
  </si>
  <si>
    <t>Rubber Belt (V-Ribbed) TAKA PRO RECMF-8670</t>
  </si>
  <si>
    <t>RECMF-8670</t>
  </si>
  <si>
    <t>CR.BR.067.TAPRO</t>
  </si>
  <si>
    <t>TAKA PRO răng B67</t>
  </si>
  <si>
    <t>Rubber Belt (V-Ribbed) TAKA PRO RECMF-8680</t>
  </si>
  <si>
    <t>RECMF-8680</t>
  </si>
  <si>
    <t>CR.BR.068.TAPRO</t>
  </si>
  <si>
    <t>TAKA PRO răng B68</t>
  </si>
  <si>
    <t>Rubber Belt (V-Ribbed) TAKA PRO RECMF-8690</t>
  </si>
  <si>
    <t>RECMF-8690</t>
  </si>
  <si>
    <t>CR.BR.069.TAPRO</t>
  </si>
  <si>
    <t>TAKA PRO răng B69</t>
  </si>
  <si>
    <t>Rubber Belt (V-Ribbed) TAKA PRO RECMF-8700</t>
  </si>
  <si>
    <t>RECMF-8700</t>
  </si>
  <si>
    <t>CR.BR.070.TAPRO</t>
  </si>
  <si>
    <t>TAKA PRO răng B70</t>
  </si>
  <si>
    <t>RUBBER BELT (V-RIBBED) TAKA PRO RECMF-8 FROM 180CM TO 240CM</t>
  </si>
  <si>
    <t>Rubber Belt (V-Ribbed) TAKA PRO RECMF-8720</t>
  </si>
  <si>
    <t>RECMF-8720</t>
  </si>
  <si>
    <t>CR.BR.072.TAPRO</t>
  </si>
  <si>
    <t>TAKA PRO răng B72</t>
  </si>
  <si>
    <t>Rubber Belt (V-Ribbed) TAKA PRO RECMF-8730</t>
  </si>
  <si>
    <t>RECMF-8730</t>
  </si>
  <si>
    <t>CR.BR.073.TAPRO</t>
  </si>
  <si>
    <t>TAKA PRO răng B73</t>
  </si>
  <si>
    <t>Rubber Belt (V-Ribbed) TAKA PRO RECMF-8740</t>
  </si>
  <si>
    <t>RECMF-8740</t>
  </si>
  <si>
    <t>CR.BR.074.TAPRO</t>
  </si>
  <si>
    <t>TAKA PRO răng B74</t>
  </si>
  <si>
    <t>Rubber Belt (V-Ribbed) TAKA PRO RECMF-8750</t>
  </si>
  <si>
    <t>RECMF-8750</t>
  </si>
  <si>
    <t>CR.BR.075.TAPRO</t>
  </si>
  <si>
    <t>TAKA PRO răng B75</t>
  </si>
  <si>
    <t>Rubber Belt (V-Ribbed) TAKA PRO RECMF-8760</t>
  </si>
  <si>
    <t>RECMF-8760</t>
  </si>
  <si>
    <t>CR.BR.076.TAPRO</t>
  </si>
  <si>
    <t>TAKA PRO răng B76</t>
  </si>
  <si>
    <t>Rubber Belt (V-Ribbed) TAKA PRO RECMF-8770</t>
  </si>
  <si>
    <t>RECMF-8770</t>
  </si>
  <si>
    <t>CR.BR.077.TAPRO</t>
  </si>
  <si>
    <t>TAKA PRO răng B77</t>
  </si>
  <si>
    <t>Rubber Belt (V-Ribbed) TAKA PRO RECMF-8780</t>
  </si>
  <si>
    <t>RECMF-8780</t>
  </si>
  <si>
    <t>CR.BR.078.TAPRO</t>
  </si>
  <si>
    <t>TAKA PRO răng B78</t>
  </si>
  <si>
    <t>Rubber Belt (V-Ribbed) TAKA PRO RECMF-8790</t>
  </si>
  <si>
    <t>RECMF-8790</t>
  </si>
  <si>
    <t>CR.BR.079.TAPRO</t>
  </si>
  <si>
    <t>TAKA PRO răng B79</t>
  </si>
  <si>
    <t>Rubber Belt (V-Ribbed) TAKA PRO RECMF-8820</t>
  </si>
  <si>
    <t>RECMF-8820</t>
  </si>
  <si>
    <t>CR.BR.082.TAPRO</t>
  </si>
  <si>
    <t>TAKA PRO răng B82</t>
  </si>
  <si>
    <t>RUBBER BELT (V-RIBBED) TAKA RECMF-1, RECMF-6, RECMF-8 FROM 60CM TO 180CM</t>
  </si>
  <si>
    <t>Rubber Belt (V-Ribbed) TAKA RECMF-1320</t>
  </si>
  <si>
    <t>RECMF-1320</t>
  </si>
  <si>
    <t>CR.FMR.032.TA</t>
  </si>
  <si>
    <t>TAKA răng FM32</t>
  </si>
  <si>
    <t>Rubber Belt (V-Ribbed) TAKA RECMF-1350</t>
  </si>
  <si>
    <t>RECMF-1350</t>
  </si>
  <si>
    <t>CR.FMR.035.TA</t>
  </si>
  <si>
    <t>TAKA răng FM35</t>
  </si>
  <si>
    <t>Rubber Belt (V-Ribbed) TAKA RECMF-1370</t>
  </si>
  <si>
    <t>RECMF-1370</t>
  </si>
  <si>
    <t>CR.FMR.037.TA</t>
  </si>
  <si>
    <t>TAKA răng FM37</t>
  </si>
  <si>
    <t>Rubber Belt (V-Ribbed) TAKA RECMF-1380</t>
  </si>
  <si>
    <t>RECMF-1380</t>
  </si>
  <si>
    <t>CR.FMR.038.TA</t>
  </si>
  <si>
    <t>TAKA răng FM38</t>
  </si>
  <si>
    <t>Rubber Belt (V-Ribbed) TAKA RECMF-1390</t>
  </si>
  <si>
    <t>RECMF-1390</t>
  </si>
  <si>
    <t>CR.FMR.039.TA</t>
  </si>
  <si>
    <t>TAKA răng FM39</t>
  </si>
  <si>
    <t>Rubber Belt (V-Ribbed) TAKA RECMF-1400</t>
  </si>
  <si>
    <t>RECMF-1400</t>
  </si>
  <si>
    <t>CR.FMR.040.TA</t>
  </si>
  <si>
    <t>TAKA răng FM40</t>
  </si>
  <si>
    <t>Rubber Belt (V-Ribbed) TAKA RECMF-1420</t>
  </si>
  <si>
    <t>RECMF-1420</t>
  </si>
  <si>
    <t>CR.FMR.042.TA</t>
  </si>
  <si>
    <t>TAKA răng FM42</t>
  </si>
  <si>
    <t>Rubber Belt (V-Ribbed) TAKA RECMF-6340</t>
  </si>
  <si>
    <t>RECMF-6340</t>
  </si>
  <si>
    <t>CR.AR.034.TA</t>
  </si>
  <si>
    <t>TAKA răng A34</t>
  </si>
  <si>
    <t>Rubber Belt (V-Ribbed) TAKA RECMF-6350</t>
  </si>
  <si>
    <t>RECMF-6350</t>
  </si>
  <si>
    <t>CR.AR.035.TA</t>
  </si>
  <si>
    <t>TAKA răng A35</t>
  </si>
  <si>
    <t>Rubber Belt (V-Ribbed) TAKA RECMF-6360</t>
  </si>
  <si>
    <t>RECMF-6360</t>
  </si>
  <si>
    <t>CR.AR.036.TA</t>
  </si>
  <si>
    <t>TAKA răng A36</t>
  </si>
  <si>
    <t>Rubber Belt (V-Ribbed) TAKA RECMF-6370</t>
  </si>
  <si>
    <t>RECMF-6370</t>
  </si>
  <si>
    <t>CR.AR.037.TA</t>
  </si>
  <si>
    <t>TAKA răng A37</t>
  </si>
  <si>
    <t>Rubber Belt (V-Ribbed) TAKA RECMF-6380</t>
  </si>
  <si>
    <t>RECMF-6380</t>
  </si>
  <si>
    <t>CR.AR.038.TA</t>
  </si>
  <si>
    <t>TAKA răng A38</t>
  </si>
  <si>
    <t>Rubber Belt (V-Ribbed) TAKA RECMF-6390</t>
  </si>
  <si>
    <t>RECMF-6390</t>
  </si>
  <si>
    <t>CR.AR.039.TA</t>
  </si>
  <si>
    <t>TAKA răng A39</t>
  </si>
  <si>
    <t>Rubber Belt (V-Ribbed) TAKA RECMF-6400</t>
  </si>
  <si>
    <t>RECMF-6400</t>
  </si>
  <si>
    <t>CR.AR.040.TA</t>
  </si>
  <si>
    <t>TAKA răng A40</t>
  </si>
  <si>
    <t>Rubber Belt (V-Ribbed) TAKA RECMF-6410</t>
  </si>
  <si>
    <t>RECMF-6410</t>
  </si>
  <si>
    <t>CR.AR.041.TA</t>
  </si>
  <si>
    <t>TAKA răng A41</t>
  </si>
  <si>
    <t>Rubber Belt (V-Ribbed) TAKA RECMF-6420</t>
  </si>
  <si>
    <t>RECMF-6420</t>
  </si>
  <si>
    <t>CR.AR.042.TA</t>
  </si>
  <si>
    <t>TAKA răng A42</t>
  </si>
  <si>
    <t>Rubber Belt (V-Ribbed) TAKA RECMF-6430</t>
  </si>
  <si>
    <t>RECMF-6430</t>
  </si>
  <si>
    <t>CR.AR.043.TA</t>
  </si>
  <si>
    <t>TAKA răng A43</t>
  </si>
  <si>
    <t>Rubber Belt (V-Ribbed) TAKA RECMF-6440</t>
  </si>
  <si>
    <t>RECMF-6440</t>
  </si>
  <si>
    <t>CR.AR.044.TA</t>
  </si>
  <si>
    <t>TAKA răng A44</t>
  </si>
  <si>
    <t>Rubber Belt (V-Ribbed) TAKA RECMF-6450</t>
  </si>
  <si>
    <t>RECMF-6450</t>
  </si>
  <si>
    <t>CR.AR.045.TA</t>
  </si>
  <si>
    <t>TAKA răng A45</t>
  </si>
  <si>
    <t>Rubber Belt (V-Ribbed) TAKA RECMF-6460</t>
  </si>
  <si>
    <t>RECMF-6460</t>
  </si>
  <si>
    <t>CR.AR.046.TA</t>
  </si>
  <si>
    <t>TAKA răng A46</t>
  </si>
  <si>
    <t>Rubber Belt (V-Ribbed) TAKA RECMF-6480</t>
  </si>
  <si>
    <t>RECMF-6480</t>
  </si>
  <si>
    <t>CR.AR.048.TA</t>
  </si>
  <si>
    <t>TAKA răng A48</t>
  </si>
  <si>
    <t>Rubber Belt (V-Ribbed) TAKA RECMF-6490</t>
  </si>
  <si>
    <t>RECMF-6490</t>
  </si>
  <si>
    <t>CR.AR.049.TA</t>
  </si>
  <si>
    <t>TAKA răng A49</t>
  </si>
  <si>
    <t>Rubber Belt (V-Ribbed) TAKA RECMF-6520</t>
  </si>
  <si>
    <t>RECMF-6520</t>
  </si>
  <si>
    <t>CR.AR.052.TA</t>
  </si>
  <si>
    <t>TAKA răng A52</t>
  </si>
  <si>
    <t>Rubber Belt (V-Ribbed) TAKA RECMF-6530</t>
  </si>
  <si>
    <t>RECMF-6530</t>
  </si>
  <si>
    <t>CR.AR.053.TA</t>
  </si>
  <si>
    <t>TAKA răng A53</t>
  </si>
  <si>
    <t>Rubber Belt (V-Ribbed) TAKA RECMF-6560</t>
  </si>
  <si>
    <t>RECMF-6560</t>
  </si>
  <si>
    <t>CR.AR.056.TA</t>
  </si>
  <si>
    <t>TAKA răng A56</t>
  </si>
  <si>
    <t>Rubber Belt (V-Ribbed) TAKA RECMF-8380</t>
  </si>
  <si>
    <t>CR.BR.038.TA</t>
  </si>
  <si>
    <t>TAKA răng B38</t>
  </si>
  <si>
    <t>Rubber Belt (V-Ribbed) TAKA RECMF-8410</t>
  </si>
  <si>
    <t>CR.BR.041.TA</t>
  </si>
  <si>
    <t>TAKA răng B41</t>
  </si>
  <si>
    <t>Rubber Belt (V-Ribbed) TAKA RECMF-8420</t>
  </si>
  <si>
    <t>CR.BR.042.TA</t>
  </si>
  <si>
    <t>TAKA răng B42</t>
  </si>
  <si>
    <t>Rubber Belt (V-Ribbed) TAKA RECMF-8430</t>
  </si>
  <si>
    <t>CR.BR.043.TA</t>
  </si>
  <si>
    <t>TAKA răng B43</t>
  </si>
  <si>
    <t>Rubber Belt (V-Ribbed) TAKA RECMF-8440</t>
  </si>
  <si>
    <t>CR.BR.044.TA</t>
  </si>
  <si>
    <t>TAKA răng B44</t>
  </si>
  <si>
    <t>Rubber Belt (V-Ribbed) TAKA RECMF-8450</t>
  </si>
  <si>
    <t>CR.BR.045.TA</t>
  </si>
  <si>
    <t>TAKA răng B45</t>
  </si>
  <si>
    <t>Rubber Belt (V-Ribbed) TAKA RECMF-8460</t>
  </si>
  <si>
    <t>CR.BR.046.TA</t>
  </si>
  <si>
    <t>TAKA răng B46</t>
  </si>
  <si>
    <t>Rubber Belt (V-Ribbed) TAKA RECMF-8470</t>
  </si>
  <si>
    <t>CR.BR.047.TA</t>
  </si>
  <si>
    <t>TAKA răng B47</t>
  </si>
  <si>
    <t>Rubber Belt (V-Ribbed) TAKA RECMF-8490</t>
  </si>
  <si>
    <t>CR.BR.049.TA</t>
  </si>
  <si>
    <t>TAKA răng B49</t>
  </si>
  <si>
    <t>Rubber Belt (V-Ribbed) TAKA RECMF-8500</t>
  </si>
  <si>
    <t>CR.BR.050.TA</t>
  </si>
  <si>
    <t>TAKA răng B50</t>
  </si>
  <si>
    <t>Rubber Belt (V-Ribbed) TAKA RECMF-8510</t>
  </si>
  <si>
    <t>CR.BR.051.TA</t>
  </si>
  <si>
    <t>TAKA răng B51</t>
  </si>
  <si>
    <t>Rubber Belt (V-Ribbed) TAKA RECMF-8520</t>
  </si>
  <si>
    <t>CR.BR.052.TA</t>
  </si>
  <si>
    <t>TAKA răng B52</t>
  </si>
  <si>
    <t>Rubber Belt (V-Ribbed) TAKA RECMF-8540</t>
  </si>
  <si>
    <t>CR.BR.054.TA</t>
  </si>
  <si>
    <t>TAKA răng B54</t>
  </si>
  <si>
    <t>Rubber Belt (V-Ribbed) TAKA RECMF-8550</t>
  </si>
  <si>
    <t>CR.BR.055.TA</t>
  </si>
  <si>
    <t>TAKA răng B55</t>
  </si>
  <si>
    <t>Rubber Belt (V-Ribbed) TAKA RECMF-8580</t>
  </si>
  <si>
    <t>CR.BR.058.TA</t>
  </si>
  <si>
    <t>TAKA răng B58</t>
  </si>
  <si>
    <t>Rubber Belt (V-Ribbed) TAKA RECMF-8590</t>
  </si>
  <si>
    <t>CR.BR.059.TA</t>
  </si>
  <si>
    <t>TAKA răng B59</t>
  </si>
  <si>
    <t>Rubber Belt (V-Ribbed) TAKA RECMF-8600</t>
  </si>
  <si>
    <t>CR.BR.060.TA</t>
  </si>
  <si>
    <t>TAKA răng B60</t>
  </si>
  <si>
    <t>Rubber Belt (V-Ribbed) TAKA RECMF-8610</t>
  </si>
  <si>
    <t>CR.BR.061.TA</t>
  </si>
  <si>
    <t>TAKA răng B61</t>
  </si>
  <si>
    <t>Rubber Belt (V-Ribbed) TAKA RECMF-8620</t>
  </si>
  <si>
    <t>CR.BR.062.TA</t>
  </si>
  <si>
    <t>TAKA răng B62</t>
  </si>
  <si>
    <t>Rubber Belt (V-Ribbed) TAKA RECMF-8640</t>
  </si>
  <si>
    <t>RECMF-8640</t>
  </si>
  <si>
    <t>CR.BR.064.TA</t>
  </si>
  <si>
    <t>TAKA răng B64</t>
  </si>
  <si>
    <t>Rubber Belt (V-Ribbed) TAKA RECMF-8650</t>
  </si>
  <si>
    <t>CR.BR.065.TA</t>
  </si>
  <si>
    <t>TAKA răng B65</t>
  </si>
  <si>
    <t>Rubber Belt (V-Ribbed) TAKA RECMF-8660</t>
  </si>
  <si>
    <t>RECMF-8660</t>
  </si>
  <si>
    <t>CR.BR.066.TA</t>
  </si>
  <si>
    <t>TAKA răng B66</t>
  </si>
  <si>
    <t>Rubber Belt (V-Ribbed) TAKA RECMF-8670</t>
  </si>
  <si>
    <t>CR.BR.067.TA</t>
  </si>
  <si>
    <t>TAKA răng B67</t>
  </si>
  <si>
    <t>Rubber Belt (V-Ribbed) TAKA RECMF-8680</t>
  </si>
  <si>
    <t>CR.BR.068.TA</t>
  </si>
  <si>
    <t>TAKA răng B68</t>
  </si>
  <si>
    <t>RUBBER BELT (V-RIBBED) TAKA RECMF-8 FROM 180CM TO 240CM</t>
  </si>
  <si>
    <t>Rubber Belt (V-Ribbed) TAKA RECMF-8730</t>
  </si>
  <si>
    <t>CR.BR.073.TA</t>
  </si>
  <si>
    <t>TAKA răng B73</t>
  </si>
  <si>
    <t>Rubber Belt (V-Ribbed) TAKA RECMF-8740</t>
  </si>
  <si>
    <t>CR.BR.074.TA</t>
  </si>
  <si>
    <t>TAKA răng B74</t>
  </si>
  <si>
    <t>Rubber Belt (V-Ribbed) TAKA RECMF-8750</t>
  </si>
  <si>
    <t>CR.BR.075.TA</t>
  </si>
  <si>
    <t>TAKA răng B75</t>
  </si>
  <si>
    <t>Rubber Belt (V-Ribbed) TAKA RECMF-8760</t>
  </si>
  <si>
    <t>CR.BR.076.TA</t>
  </si>
  <si>
    <t>TAKA răng B76</t>
  </si>
  <si>
    <t>Rubber Belt (V-Ribbed) TAKA RECMF-8770</t>
  </si>
  <si>
    <t>CR.BR.077.TA</t>
  </si>
  <si>
    <t>TAKA răng B77</t>
  </si>
  <si>
    <t>RUBBER BELT (V-RIBBED) TAKA RECMF-8 OVER 240CM</t>
  </si>
  <si>
    <t>Rubber Belt (V-Ribbed) TAKA RECMF-8950</t>
  </si>
  <si>
    <t>RECMF-8950</t>
  </si>
  <si>
    <t>CR.BR.095.TA</t>
  </si>
  <si>
    <t>TAKA răng B95</t>
  </si>
  <si>
    <t>Rubber Belt (V-Ribbed) TAKA RECMF-8970</t>
  </si>
  <si>
    <t>RECMF-8970</t>
  </si>
  <si>
    <t>CR.BR.097.TA</t>
  </si>
  <si>
    <t>TAKA răng B97</t>
  </si>
  <si>
    <t>RUBBER BELT (V-RIBBED) YAMATACHI RECMF-9 FROM 180CM TO 240CM</t>
  </si>
  <si>
    <t>Rubber Belt (V-Ribbed) YAMATACHI RECMF-9750</t>
  </si>
  <si>
    <t>RECMF-9750</t>
  </si>
  <si>
    <t>CR.CR.075.YAMA</t>
  </si>
  <si>
    <t>YAMATACHI răng C75</t>
  </si>
  <si>
    <t>Rubber Belt (V-Ribbed) YAMATACHI RECMF-9780</t>
  </si>
  <si>
    <t>RECMF-9780</t>
  </si>
  <si>
    <t>CR.CR.078.YAMA</t>
  </si>
  <si>
    <t>YAMATACHI răng C78</t>
  </si>
  <si>
    <t>TOTAL</t>
  </si>
  <si>
    <t>SAY IN WORD: THIRTY FOUR THOUSAND ONE HUNDRED SEVENTY FOUR DOLLARS AND TWO CENT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</si>
</sst>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_ 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28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indent="1"/>
    </xf>
    <xf numFmtId="0" fontId="0" fillId="0" borderId="5" xfId="0" applyBorder="1"/>
    <xf numFmtId="0" fontId="4" fillId="2" borderId="4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4" fillId="2" borderId="6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right" vertical="center"/>
    </xf>
    <xf numFmtId="0" fontId="4" fillId="3" borderId="9" xfId="0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left" vertical="center" indent="1"/>
    </xf>
    <xf numFmtId="0" fontId="0" fillId="0" borderId="11" xfId="0" applyBorder="1"/>
    <xf numFmtId="165" fontId="7" fillId="3" borderId="11" xfId="0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64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44" fontId="10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165" fontId="11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44" fontId="11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EAE5-DFD5-4CBC-B747-07E5C0D028D1}">
  <sheetPr codeName="Sheet11"/>
  <dimension ref="A1:O123"/>
  <sheetViews>
    <sheetView tabSelected="1" workbookViewId="0">
      <selection activeCell="F12" sqref="F12"/>
    </sheetView>
  </sheetViews>
  <sheetFormatPr defaultRowHeight="15" x14ac:dyDescent="0.25"/>
  <cols>
    <col min="1" max="1" width="9.7109375" customWidth="1"/>
    <col min="2" max="2" width="60.42578125" customWidth="1"/>
    <col min="3" max="3" width="17" customWidth="1"/>
    <col min="4" max="4" width="8.5703125" customWidth="1"/>
    <col min="5" max="5" width="12.5703125" customWidth="1"/>
    <col min="6" max="6" width="13.85546875" customWidth="1"/>
    <col min="7" max="7" width="13.28515625" customWidth="1"/>
    <col min="8" max="8" width="11.28515625" customWidth="1"/>
    <col min="9" max="9" width="16.28515625" customWidth="1"/>
    <col min="10" max="10" width="26.28515625" customWidth="1"/>
    <col min="12" max="12" width="27.7109375" customWidth="1"/>
    <col min="13" max="13" width="16" customWidth="1"/>
    <col min="14" max="14" width="9" customWidth="1"/>
    <col min="15" max="15" width="14" customWidth="1"/>
    <col min="16" max="16" width="9.140625" customWidth="1"/>
    <col min="221" max="221" width="12.42578125" customWidth="1"/>
    <col min="222" max="222" width="11.85546875" customWidth="1"/>
    <col min="223" max="223" width="17.140625" customWidth="1"/>
    <col min="224" max="224" width="19.42578125" customWidth="1"/>
    <col min="225" max="225" width="16" customWidth="1"/>
    <col min="226" max="226" width="17.85546875" customWidth="1"/>
    <col min="227" max="227" width="9.140625" customWidth="1"/>
    <col min="228" max="228" width="15.140625" customWidth="1"/>
    <col min="230" max="230" width="9.140625" customWidth="1"/>
    <col min="477" max="477" width="12.42578125" customWidth="1"/>
    <col min="478" max="478" width="11.85546875" customWidth="1"/>
    <col min="479" max="479" width="17.140625" customWidth="1"/>
    <col min="480" max="480" width="19.42578125" customWidth="1"/>
    <col min="481" max="481" width="16" customWidth="1"/>
    <col min="482" max="482" width="17.85546875" customWidth="1"/>
    <col min="483" max="483" width="9.140625" customWidth="1"/>
    <col min="484" max="484" width="15.140625" customWidth="1"/>
    <col min="486" max="486" width="9.140625" customWidth="1"/>
    <col min="733" max="733" width="12.42578125" customWidth="1"/>
    <col min="734" max="734" width="11.85546875" customWidth="1"/>
    <col min="735" max="735" width="17.140625" customWidth="1"/>
    <col min="736" max="736" width="19.42578125" customWidth="1"/>
    <col min="737" max="737" width="16" customWidth="1"/>
    <col min="738" max="738" width="17.85546875" customWidth="1"/>
    <col min="739" max="739" width="9.140625" customWidth="1"/>
    <col min="740" max="740" width="15.140625" customWidth="1"/>
    <col min="742" max="742" width="9.140625" customWidth="1"/>
    <col min="989" max="989" width="12.42578125" customWidth="1"/>
    <col min="990" max="990" width="11.85546875" customWidth="1"/>
    <col min="991" max="991" width="17.140625" customWidth="1"/>
    <col min="992" max="992" width="19.42578125" customWidth="1"/>
    <col min="993" max="993" width="16" customWidth="1"/>
    <col min="994" max="994" width="17.85546875" customWidth="1"/>
    <col min="995" max="995" width="9.140625" customWidth="1"/>
    <col min="996" max="996" width="15.140625" customWidth="1"/>
    <col min="998" max="998" width="9.140625" customWidth="1"/>
    <col min="1245" max="1245" width="12.42578125" customWidth="1"/>
    <col min="1246" max="1246" width="11.85546875" customWidth="1"/>
    <col min="1247" max="1247" width="17.140625" customWidth="1"/>
    <col min="1248" max="1248" width="19.42578125" customWidth="1"/>
    <col min="1249" max="1249" width="16" customWidth="1"/>
    <col min="1250" max="1250" width="17.85546875" customWidth="1"/>
    <col min="1251" max="1251" width="9.140625" customWidth="1"/>
    <col min="1252" max="1252" width="15.140625" customWidth="1"/>
    <col min="1254" max="1254" width="9.140625" customWidth="1"/>
    <col min="1501" max="1501" width="12.42578125" customWidth="1"/>
    <col min="1502" max="1502" width="11.85546875" customWidth="1"/>
    <col min="1503" max="1503" width="17.140625" customWidth="1"/>
    <col min="1504" max="1504" width="19.42578125" customWidth="1"/>
    <col min="1505" max="1505" width="16" customWidth="1"/>
    <col min="1506" max="1506" width="17.85546875" customWidth="1"/>
    <col min="1507" max="1507" width="9.140625" customWidth="1"/>
    <col min="1508" max="1508" width="15.140625" customWidth="1"/>
    <col min="1510" max="1510" width="9.140625" customWidth="1"/>
    <col min="1757" max="1757" width="12.42578125" customWidth="1"/>
    <col min="1758" max="1758" width="11.85546875" customWidth="1"/>
    <col min="1759" max="1759" width="17.140625" customWidth="1"/>
    <col min="1760" max="1760" width="19.42578125" customWidth="1"/>
    <col min="1761" max="1761" width="16" customWidth="1"/>
    <col min="1762" max="1762" width="17.85546875" customWidth="1"/>
    <col min="1763" max="1763" width="9.140625" customWidth="1"/>
    <col min="1764" max="1764" width="15.140625" customWidth="1"/>
    <col min="1766" max="1766" width="9.140625" customWidth="1"/>
    <col min="2013" max="2013" width="12.42578125" customWidth="1"/>
    <col min="2014" max="2014" width="11.85546875" customWidth="1"/>
    <col min="2015" max="2015" width="17.140625" customWidth="1"/>
    <col min="2016" max="2016" width="19.42578125" customWidth="1"/>
    <col min="2017" max="2017" width="16" customWidth="1"/>
    <col min="2018" max="2018" width="17.85546875" customWidth="1"/>
    <col min="2019" max="2019" width="9.140625" customWidth="1"/>
    <col min="2020" max="2020" width="15.140625" customWidth="1"/>
    <col min="2022" max="2022" width="9.140625" customWidth="1"/>
    <col min="2269" max="2269" width="12.42578125" customWidth="1"/>
    <col min="2270" max="2270" width="11.85546875" customWidth="1"/>
    <col min="2271" max="2271" width="17.140625" customWidth="1"/>
    <col min="2272" max="2272" width="19.42578125" customWidth="1"/>
    <col min="2273" max="2273" width="16" customWidth="1"/>
    <col min="2274" max="2274" width="17.85546875" customWidth="1"/>
    <col min="2275" max="2275" width="9.140625" customWidth="1"/>
    <col min="2276" max="2276" width="15.140625" customWidth="1"/>
    <col min="2278" max="2278" width="9.140625" customWidth="1"/>
    <col min="2525" max="2525" width="12.42578125" customWidth="1"/>
    <col min="2526" max="2526" width="11.85546875" customWidth="1"/>
    <col min="2527" max="2527" width="17.140625" customWidth="1"/>
    <col min="2528" max="2528" width="19.42578125" customWidth="1"/>
    <col min="2529" max="2529" width="16" customWidth="1"/>
    <col min="2530" max="2530" width="17.85546875" customWidth="1"/>
    <col min="2531" max="2531" width="9.140625" customWidth="1"/>
    <col min="2532" max="2532" width="15.140625" customWidth="1"/>
    <col min="2534" max="2534" width="9.140625" customWidth="1"/>
    <col min="2781" max="2781" width="12.42578125" customWidth="1"/>
    <col min="2782" max="2782" width="11.85546875" customWidth="1"/>
    <col min="2783" max="2783" width="17.140625" customWidth="1"/>
    <col min="2784" max="2784" width="19.42578125" customWidth="1"/>
    <col min="2785" max="2785" width="16" customWidth="1"/>
    <col min="2786" max="2786" width="17.85546875" customWidth="1"/>
    <col min="2787" max="2787" width="9.140625" customWidth="1"/>
    <col min="2788" max="2788" width="15.140625" customWidth="1"/>
    <col min="2790" max="2790" width="9.140625" customWidth="1"/>
    <col min="3037" max="3037" width="12.42578125" customWidth="1"/>
    <col min="3038" max="3038" width="11.85546875" customWidth="1"/>
    <col min="3039" max="3039" width="17.140625" customWidth="1"/>
    <col min="3040" max="3040" width="19.42578125" customWidth="1"/>
    <col min="3041" max="3041" width="16" customWidth="1"/>
    <col min="3042" max="3042" width="17.85546875" customWidth="1"/>
    <col min="3043" max="3043" width="9.140625" customWidth="1"/>
    <col min="3044" max="3044" width="15.140625" customWidth="1"/>
    <col min="3046" max="3046" width="9.140625" customWidth="1"/>
    <col min="3293" max="3293" width="12.42578125" customWidth="1"/>
    <col min="3294" max="3294" width="11.85546875" customWidth="1"/>
    <col min="3295" max="3295" width="17.140625" customWidth="1"/>
    <col min="3296" max="3296" width="19.42578125" customWidth="1"/>
    <col min="3297" max="3297" width="16" customWidth="1"/>
    <col min="3298" max="3298" width="17.85546875" customWidth="1"/>
    <col min="3299" max="3299" width="9.140625" customWidth="1"/>
    <col min="3300" max="3300" width="15.140625" customWidth="1"/>
    <col min="3302" max="3302" width="9.140625" customWidth="1"/>
    <col min="3549" max="3549" width="12.42578125" customWidth="1"/>
    <col min="3550" max="3550" width="11.85546875" customWidth="1"/>
    <col min="3551" max="3551" width="17.140625" customWidth="1"/>
    <col min="3552" max="3552" width="19.42578125" customWidth="1"/>
    <col min="3553" max="3553" width="16" customWidth="1"/>
    <col min="3554" max="3554" width="17.85546875" customWidth="1"/>
    <col min="3555" max="3555" width="9.140625" customWidth="1"/>
    <col min="3556" max="3556" width="15.140625" customWidth="1"/>
    <col min="3558" max="3558" width="9.140625" customWidth="1"/>
    <col min="3805" max="3805" width="12.42578125" customWidth="1"/>
    <col min="3806" max="3806" width="11.85546875" customWidth="1"/>
    <col min="3807" max="3807" width="17.140625" customWidth="1"/>
    <col min="3808" max="3808" width="19.42578125" customWidth="1"/>
    <col min="3809" max="3809" width="16" customWidth="1"/>
    <col min="3810" max="3810" width="17.85546875" customWidth="1"/>
    <col min="3811" max="3811" width="9.140625" customWidth="1"/>
    <col min="3812" max="3812" width="15.140625" customWidth="1"/>
    <col min="3814" max="3814" width="9.140625" customWidth="1"/>
    <col min="4061" max="4061" width="12.42578125" customWidth="1"/>
    <col min="4062" max="4062" width="11.85546875" customWidth="1"/>
    <col min="4063" max="4063" width="17.140625" customWidth="1"/>
    <col min="4064" max="4064" width="19.42578125" customWidth="1"/>
    <col min="4065" max="4065" width="16" customWidth="1"/>
    <col min="4066" max="4066" width="17.85546875" customWidth="1"/>
    <col min="4067" max="4067" width="9.140625" customWidth="1"/>
    <col min="4068" max="4068" width="15.140625" customWidth="1"/>
    <col min="4070" max="4070" width="9.140625" customWidth="1"/>
    <col min="4317" max="4317" width="12.42578125" customWidth="1"/>
    <col min="4318" max="4318" width="11.85546875" customWidth="1"/>
    <col min="4319" max="4319" width="17.140625" customWidth="1"/>
    <col min="4320" max="4320" width="19.42578125" customWidth="1"/>
    <col min="4321" max="4321" width="16" customWidth="1"/>
    <col min="4322" max="4322" width="17.85546875" customWidth="1"/>
    <col min="4323" max="4323" width="9.140625" customWidth="1"/>
    <col min="4324" max="4324" width="15.140625" customWidth="1"/>
    <col min="4326" max="4326" width="9.140625" customWidth="1"/>
    <col min="4573" max="4573" width="12.42578125" customWidth="1"/>
    <col min="4574" max="4574" width="11.85546875" customWidth="1"/>
    <col min="4575" max="4575" width="17.140625" customWidth="1"/>
    <col min="4576" max="4576" width="19.42578125" customWidth="1"/>
    <col min="4577" max="4577" width="16" customWidth="1"/>
    <col min="4578" max="4578" width="17.85546875" customWidth="1"/>
    <col min="4579" max="4579" width="9.140625" customWidth="1"/>
    <col min="4580" max="4580" width="15.140625" customWidth="1"/>
    <col min="4582" max="4582" width="9.140625" customWidth="1"/>
    <col min="4829" max="4829" width="12.42578125" customWidth="1"/>
    <col min="4830" max="4830" width="11.85546875" customWidth="1"/>
    <col min="4831" max="4831" width="17.140625" customWidth="1"/>
    <col min="4832" max="4832" width="19.42578125" customWidth="1"/>
    <col min="4833" max="4833" width="16" customWidth="1"/>
    <col min="4834" max="4834" width="17.85546875" customWidth="1"/>
    <col min="4835" max="4835" width="9.140625" customWidth="1"/>
    <col min="4836" max="4836" width="15.140625" customWidth="1"/>
    <col min="4838" max="4838" width="9.140625" customWidth="1"/>
    <col min="5085" max="5085" width="12.42578125" customWidth="1"/>
    <col min="5086" max="5086" width="11.85546875" customWidth="1"/>
    <col min="5087" max="5087" width="17.140625" customWidth="1"/>
    <col min="5088" max="5088" width="19.42578125" customWidth="1"/>
    <col min="5089" max="5089" width="16" customWidth="1"/>
    <col min="5090" max="5090" width="17.85546875" customWidth="1"/>
    <col min="5091" max="5091" width="9.140625" customWidth="1"/>
    <col min="5092" max="5092" width="15.140625" customWidth="1"/>
    <col min="5094" max="5094" width="9.140625" customWidth="1"/>
    <col min="5341" max="5341" width="12.42578125" customWidth="1"/>
    <col min="5342" max="5342" width="11.85546875" customWidth="1"/>
    <col min="5343" max="5343" width="17.140625" customWidth="1"/>
    <col min="5344" max="5344" width="19.42578125" customWidth="1"/>
    <col min="5345" max="5345" width="16" customWidth="1"/>
    <col min="5346" max="5346" width="17.85546875" customWidth="1"/>
    <col min="5347" max="5347" width="9.140625" customWidth="1"/>
    <col min="5348" max="5348" width="15.140625" customWidth="1"/>
    <col min="5350" max="5350" width="9.140625" customWidth="1"/>
    <col min="5597" max="5597" width="12.42578125" customWidth="1"/>
    <col min="5598" max="5598" width="11.85546875" customWidth="1"/>
    <col min="5599" max="5599" width="17.140625" customWidth="1"/>
    <col min="5600" max="5600" width="19.42578125" customWidth="1"/>
    <col min="5601" max="5601" width="16" customWidth="1"/>
    <col min="5602" max="5602" width="17.85546875" customWidth="1"/>
    <col min="5603" max="5603" width="9.140625" customWidth="1"/>
    <col min="5604" max="5604" width="15.140625" customWidth="1"/>
    <col min="5606" max="5606" width="9.140625" customWidth="1"/>
    <col min="5853" max="5853" width="12.42578125" customWidth="1"/>
    <col min="5854" max="5854" width="11.85546875" customWidth="1"/>
    <col min="5855" max="5855" width="17.140625" customWidth="1"/>
    <col min="5856" max="5856" width="19.42578125" customWidth="1"/>
    <col min="5857" max="5857" width="16" customWidth="1"/>
    <col min="5858" max="5858" width="17.85546875" customWidth="1"/>
    <col min="5859" max="5859" width="9.140625" customWidth="1"/>
    <col min="5860" max="5860" width="15.140625" customWidth="1"/>
    <col min="5862" max="5862" width="9.140625" customWidth="1"/>
    <col min="6109" max="6109" width="12.42578125" customWidth="1"/>
    <col min="6110" max="6110" width="11.85546875" customWidth="1"/>
    <col min="6111" max="6111" width="17.140625" customWidth="1"/>
    <col min="6112" max="6112" width="19.42578125" customWidth="1"/>
    <col min="6113" max="6113" width="16" customWidth="1"/>
    <col min="6114" max="6114" width="17.85546875" customWidth="1"/>
    <col min="6115" max="6115" width="9.140625" customWidth="1"/>
    <col min="6116" max="6116" width="15.140625" customWidth="1"/>
    <col min="6118" max="6118" width="9.140625" customWidth="1"/>
    <col min="6365" max="6365" width="12.42578125" customWidth="1"/>
    <col min="6366" max="6366" width="11.85546875" customWidth="1"/>
    <col min="6367" max="6367" width="17.140625" customWidth="1"/>
    <col min="6368" max="6368" width="19.42578125" customWidth="1"/>
    <col min="6369" max="6369" width="16" customWidth="1"/>
    <col min="6370" max="6370" width="17.85546875" customWidth="1"/>
    <col min="6371" max="6371" width="9.140625" customWidth="1"/>
    <col min="6372" max="6372" width="15.140625" customWidth="1"/>
    <col min="6374" max="6374" width="9.140625" customWidth="1"/>
    <col min="6621" max="6621" width="12.42578125" customWidth="1"/>
    <col min="6622" max="6622" width="11.85546875" customWidth="1"/>
    <col min="6623" max="6623" width="17.140625" customWidth="1"/>
    <col min="6624" max="6624" width="19.42578125" customWidth="1"/>
    <col min="6625" max="6625" width="16" customWidth="1"/>
    <col min="6626" max="6626" width="17.85546875" customWidth="1"/>
    <col min="6627" max="6627" width="9.140625" customWidth="1"/>
    <col min="6628" max="6628" width="15.140625" customWidth="1"/>
    <col min="6630" max="6630" width="9.140625" customWidth="1"/>
    <col min="6877" max="6877" width="12.42578125" customWidth="1"/>
    <col min="6878" max="6878" width="11.85546875" customWidth="1"/>
    <col min="6879" max="6879" width="17.140625" customWidth="1"/>
    <col min="6880" max="6880" width="19.42578125" customWidth="1"/>
    <col min="6881" max="6881" width="16" customWidth="1"/>
    <col min="6882" max="6882" width="17.85546875" customWidth="1"/>
    <col min="6883" max="6883" width="9.140625" customWidth="1"/>
    <col min="6884" max="6884" width="15.140625" customWidth="1"/>
    <col min="6886" max="6886" width="9.140625" customWidth="1"/>
    <col min="7133" max="7133" width="12.42578125" customWidth="1"/>
    <col min="7134" max="7134" width="11.85546875" customWidth="1"/>
    <col min="7135" max="7135" width="17.140625" customWidth="1"/>
    <col min="7136" max="7136" width="19.42578125" customWidth="1"/>
    <col min="7137" max="7137" width="16" customWidth="1"/>
    <col min="7138" max="7138" width="17.85546875" customWidth="1"/>
    <col min="7139" max="7139" width="9.140625" customWidth="1"/>
    <col min="7140" max="7140" width="15.140625" customWidth="1"/>
    <col min="7142" max="7142" width="9.140625" customWidth="1"/>
    <col min="7389" max="7389" width="12.42578125" customWidth="1"/>
    <col min="7390" max="7390" width="11.85546875" customWidth="1"/>
    <col min="7391" max="7391" width="17.140625" customWidth="1"/>
    <col min="7392" max="7392" width="19.42578125" customWidth="1"/>
    <col min="7393" max="7393" width="16" customWidth="1"/>
    <col min="7394" max="7394" width="17.85546875" customWidth="1"/>
    <col min="7395" max="7395" width="9.140625" customWidth="1"/>
    <col min="7396" max="7396" width="15.140625" customWidth="1"/>
    <col min="7398" max="7398" width="9.140625" customWidth="1"/>
    <col min="7645" max="7645" width="12.42578125" customWidth="1"/>
    <col min="7646" max="7646" width="11.85546875" customWidth="1"/>
    <col min="7647" max="7647" width="17.140625" customWidth="1"/>
    <col min="7648" max="7648" width="19.42578125" customWidth="1"/>
    <col min="7649" max="7649" width="16" customWidth="1"/>
    <col min="7650" max="7650" width="17.85546875" customWidth="1"/>
    <col min="7651" max="7651" width="9.140625" customWidth="1"/>
    <col min="7652" max="7652" width="15.140625" customWidth="1"/>
    <col min="7654" max="7654" width="9.140625" customWidth="1"/>
    <col min="7901" max="7901" width="12.42578125" customWidth="1"/>
    <col min="7902" max="7902" width="11.85546875" customWidth="1"/>
    <col min="7903" max="7903" width="17.140625" customWidth="1"/>
    <col min="7904" max="7904" width="19.42578125" customWidth="1"/>
    <col min="7905" max="7905" width="16" customWidth="1"/>
    <col min="7906" max="7906" width="17.85546875" customWidth="1"/>
    <col min="7907" max="7907" width="9.140625" customWidth="1"/>
    <col min="7908" max="7908" width="15.140625" customWidth="1"/>
    <col min="7910" max="7910" width="9.140625" customWidth="1"/>
    <col min="8157" max="8157" width="12.42578125" customWidth="1"/>
    <col min="8158" max="8158" width="11.85546875" customWidth="1"/>
    <col min="8159" max="8159" width="17.140625" customWidth="1"/>
    <col min="8160" max="8160" width="19.42578125" customWidth="1"/>
    <col min="8161" max="8161" width="16" customWidth="1"/>
    <col min="8162" max="8162" width="17.85546875" customWidth="1"/>
    <col min="8163" max="8163" width="9.140625" customWidth="1"/>
    <col min="8164" max="8164" width="15.140625" customWidth="1"/>
    <col min="8166" max="8166" width="9.140625" customWidth="1"/>
    <col min="8413" max="8413" width="12.42578125" customWidth="1"/>
    <col min="8414" max="8414" width="11.85546875" customWidth="1"/>
    <col min="8415" max="8415" width="17.140625" customWidth="1"/>
    <col min="8416" max="8416" width="19.42578125" customWidth="1"/>
    <col min="8417" max="8417" width="16" customWidth="1"/>
    <col min="8418" max="8418" width="17.85546875" customWidth="1"/>
    <col min="8419" max="8419" width="9.140625" customWidth="1"/>
    <col min="8420" max="8420" width="15.140625" customWidth="1"/>
    <col min="8422" max="8422" width="9.140625" customWidth="1"/>
    <col min="8669" max="8669" width="12.42578125" customWidth="1"/>
    <col min="8670" max="8670" width="11.85546875" customWidth="1"/>
    <col min="8671" max="8671" width="17.140625" customWidth="1"/>
    <col min="8672" max="8672" width="19.42578125" customWidth="1"/>
    <col min="8673" max="8673" width="16" customWidth="1"/>
    <col min="8674" max="8674" width="17.85546875" customWidth="1"/>
    <col min="8675" max="8675" width="9.140625" customWidth="1"/>
    <col min="8676" max="8676" width="15.140625" customWidth="1"/>
    <col min="8678" max="8678" width="9.140625" customWidth="1"/>
    <col min="8925" max="8925" width="12.42578125" customWidth="1"/>
    <col min="8926" max="8926" width="11.85546875" customWidth="1"/>
    <col min="8927" max="8927" width="17.140625" customWidth="1"/>
    <col min="8928" max="8928" width="19.42578125" customWidth="1"/>
    <col min="8929" max="8929" width="16" customWidth="1"/>
    <col min="8930" max="8930" width="17.85546875" customWidth="1"/>
    <col min="8931" max="8931" width="9.140625" customWidth="1"/>
    <col min="8932" max="8932" width="15.140625" customWidth="1"/>
    <col min="8934" max="8934" width="9.140625" customWidth="1"/>
    <col min="9181" max="9181" width="12.42578125" customWidth="1"/>
    <col min="9182" max="9182" width="11.85546875" customWidth="1"/>
    <col min="9183" max="9183" width="17.140625" customWidth="1"/>
    <col min="9184" max="9184" width="19.42578125" customWidth="1"/>
    <col min="9185" max="9185" width="16" customWidth="1"/>
    <col min="9186" max="9186" width="17.85546875" customWidth="1"/>
    <col min="9187" max="9187" width="9.140625" customWidth="1"/>
    <col min="9188" max="9188" width="15.140625" customWidth="1"/>
    <col min="9190" max="9190" width="9.140625" customWidth="1"/>
    <col min="9437" max="9437" width="12.42578125" customWidth="1"/>
    <col min="9438" max="9438" width="11.85546875" customWidth="1"/>
    <col min="9439" max="9439" width="17.140625" customWidth="1"/>
    <col min="9440" max="9440" width="19.42578125" customWidth="1"/>
    <col min="9441" max="9441" width="16" customWidth="1"/>
    <col min="9442" max="9442" width="17.85546875" customWidth="1"/>
    <col min="9443" max="9443" width="9.140625" customWidth="1"/>
    <col min="9444" max="9444" width="15.140625" customWidth="1"/>
    <col min="9446" max="9446" width="9.140625" customWidth="1"/>
    <col min="9693" max="9693" width="12.42578125" customWidth="1"/>
    <col min="9694" max="9694" width="11.85546875" customWidth="1"/>
    <col min="9695" max="9695" width="17.140625" customWidth="1"/>
    <col min="9696" max="9696" width="19.42578125" customWidth="1"/>
    <col min="9697" max="9697" width="16" customWidth="1"/>
    <col min="9698" max="9698" width="17.85546875" customWidth="1"/>
    <col min="9699" max="9699" width="9.140625" customWidth="1"/>
    <col min="9700" max="9700" width="15.140625" customWidth="1"/>
    <col min="9702" max="9702" width="9.140625" customWidth="1"/>
    <col min="9949" max="9949" width="12.42578125" customWidth="1"/>
    <col min="9950" max="9950" width="11.85546875" customWidth="1"/>
    <col min="9951" max="9951" width="17.140625" customWidth="1"/>
    <col min="9952" max="9952" width="19.42578125" customWidth="1"/>
    <col min="9953" max="9953" width="16" customWidth="1"/>
    <col min="9954" max="9954" width="17.85546875" customWidth="1"/>
    <col min="9955" max="9955" width="9.140625" customWidth="1"/>
    <col min="9956" max="9956" width="15.140625" customWidth="1"/>
    <col min="9958" max="9958" width="9.140625" customWidth="1"/>
    <col min="10205" max="10205" width="12.42578125" customWidth="1"/>
    <col min="10206" max="10206" width="11.85546875" customWidth="1"/>
    <col min="10207" max="10207" width="17.140625" customWidth="1"/>
    <col min="10208" max="10208" width="19.42578125" customWidth="1"/>
    <col min="10209" max="10209" width="16" customWidth="1"/>
    <col min="10210" max="10210" width="17.85546875" customWidth="1"/>
    <col min="10211" max="10211" width="9.140625" customWidth="1"/>
    <col min="10212" max="10212" width="15.140625" customWidth="1"/>
    <col min="10214" max="10214" width="9.140625" customWidth="1"/>
    <col min="10461" max="10461" width="12.42578125" customWidth="1"/>
    <col min="10462" max="10462" width="11.85546875" customWidth="1"/>
    <col min="10463" max="10463" width="17.140625" customWidth="1"/>
    <col min="10464" max="10464" width="19.42578125" customWidth="1"/>
    <col min="10465" max="10465" width="16" customWidth="1"/>
    <col min="10466" max="10466" width="17.85546875" customWidth="1"/>
    <col min="10467" max="10467" width="9.140625" customWidth="1"/>
    <col min="10468" max="10468" width="15.140625" customWidth="1"/>
    <col min="10470" max="10470" width="9.140625" customWidth="1"/>
    <col min="10717" max="10717" width="12.42578125" customWidth="1"/>
    <col min="10718" max="10718" width="11.85546875" customWidth="1"/>
    <col min="10719" max="10719" width="17.140625" customWidth="1"/>
    <col min="10720" max="10720" width="19.42578125" customWidth="1"/>
    <col min="10721" max="10721" width="16" customWidth="1"/>
    <col min="10722" max="10722" width="17.85546875" customWidth="1"/>
    <col min="10723" max="10723" width="9.140625" customWidth="1"/>
    <col min="10724" max="10724" width="15.140625" customWidth="1"/>
    <col min="10726" max="10726" width="9.140625" customWidth="1"/>
    <col min="10973" max="10973" width="12.42578125" customWidth="1"/>
    <col min="10974" max="10974" width="11.85546875" customWidth="1"/>
    <col min="10975" max="10975" width="17.140625" customWidth="1"/>
    <col min="10976" max="10976" width="19.42578125" customWidth="1"/>
    <col min="10977" max="10977" width="16" customWidth="1"/>
    <col min="10978" max="10978" width="17.85546875" customWidth="1"/>
    <col min="10979" max="10979" width="9.140625" customWidth="1"/>
    <col min="10980" max="10980" width="15.140625" customWidth="1"/>
    <col min="10982" max="10982" width="9.140625" customWidth="1"/>
    <col min="11229" max="11229" width="12.42578125" customWidth="1"/>
    <col min="11230" max="11230" width="11.85546875" customWidth="1"/>
    <col min="11231" max="11231" width="17.140625" customWidth="1"/>
    <col min="11232" max="11232" width="19.42578125" customWidth="1"/>
    <col min="11233" max="11233" width="16" customWidth="1"/>
    <col min="11234" max="11234" width="17.85546875" customWidth="1"/>
    <col min="11235" max="11235" width="9.140625" customWidth="1"/>
    <col min="11236" max="11236" width="15.140625" customWidth="1"/>
    <col min="11238" max="11238" width="9.140625" customWidth="1"/>
    <col min="11485" max="11485" width="12.42578125" customWidth="1"/>
    <col min="11486" max="11486" width="11.85546875" customWidth="1"/>
    <col min="11487" max="11487" width="17.140625" customWidth="1"/>
    <col min="11488" max="11488" width="19.42578125" customWidth="1"/>
    <col min="11489" max="11489" width="16" customWidth="1"/>
    <col min="11490" max="11490" width="17.85546875" customWidth="1"/>
    <col min="11491" max="11491" width="9.140625" customWidth="1"/>
    <col min="11492" max="11492" width="15.140625" customWidth="1"/>
    <col min="11494" max="11494" width="9.140625" customWidth="1"/>
    <col min="11741" max="11741" width="12.42578125" customWidth="1"/>
    <col min="11742" max="11742" width="11.85546875" customWidth="1"/>
    <col min="11743" max="11743" width="17.140625" customWidth="1"/>
    <col min="11744" max="11744" width="19.42578125" customWidth="1"/>
    <col min="11745" max="11745" width="16" customWidth="1"/>
    <col min="11746" max="11746" width="17.85546875" customWidth="1"/>
    <col min="11747" max="11747" width="9.140625" customWidth="1"/>
    <col min="11748" max="11748" width="15.140625" customWidth="1"/>
    <col min="11750" max="11750" width="9.140625" customWidth="1"/>
    <col min="11997" max="11997" width="12.42578125" customWidth="1"/>
    <col min="11998" max="11998" width="11.85546875" customWidth="1"/>
    <col min="11999" max="11999" width="17.140625" customWidth="1"/>
    <col min="12000" max="12000" width="19.42578125" customWidth="1"/>
    <col min="12001" max="12001" width="16" customWidth="1"/>
    <col min="12002" max="12002" width="17.85546875" customWidth="1"/>
    <col min="12003" max="12003" width="9.140625" customWidth="1"/>
    <col min="12004" max="12004" width="15.140625" customWidth="1"/>
    <col min="12006" max="12006" width="9.140625" customWidth="1"/>
    <col min="12253" max="12253" width="12.42578125" customWidth="1"/>
    <col min="12254" max="12254" width="11.85546875" customWidth="1"/>
    <col min="12255" max="12255" width="17.140625" customWidth="1"/>
    <col min="12256" max="12256" width="19.42578125" customWidth="1"/>
    <col min="12257" max="12257" width="16" customWidth="1"/>
    <col min="12258" max="12258" width="17.85546875" customWidth="1"/>
    <col min="12259" max="12259" width="9.140625" customWidth="1"/>
    <col min="12260" max="12260" width="15.140625" customWidth="1"/>
    <col min="12262" max="12262" width="9.140625" customWidth="1"/>
    <col min="12509" max="12509" width="12.42578125" customWidth="1"/>
    <col min="12510" max="12510" width="11.85546875" customWidth="1"/>
    <col min="12511" max="12511" width="17.140625" customWidth="1"/>
    <col min="12512" max="12512" width="19.42578125" customWidth="1"/>
    <col min="12513" max="12513" width="16" customWidth="1"/>
    <col min="12514" max="12514" width="17.85546875" customWidth="1"/>
    <col min="12515" max="12515" width="9.140625" customWidth="1"/>
    <col min="12516" max="12516" width="15.140625" customWidth="1"/>
    <col min="12518" max="12518" width="9.140625" customWidth="1"/>
    <col min="12765" max="12765" width="12.42578125" customWidth="1"/>
    <col min="12766" max="12766" width="11.85546875" customWidth="1"/>
    <col min="12767" max="12767" width="17.140625" customWidth="1"/>
    <col min="12768" max="12768" width="19.42578125" customWidth="1"/>
    <col min="12769" max="12769" width="16" customWidth="1"/>
    <col min="12770" max="12770" width="17.85546875" customWidth="1"/>
    <col min="12771" max="12771" width="9.140625" customWidth="1"/>
    <col min="12772" max="12772" width="15.140625" customWidth="1"/>
    <col min="12774" max="12774" width="9.140625" customWidth="1"/>
    <col min="13021" max="13021" width="12.42578125" customWidth="1"/>
    <col min="13022" max="13022" width="11.85546875" customWidth="1"/>
    <col min="13023" max="13023" width="17.140625" customWidth="1"/>
    <col min="13024" max="13024" width="19.42578125" customWidth="1"/>
    <col min="13025" max="13025" width="16" customWidth="1"/>
    <col min="13026" max="13026" width="17.85546875" customWidth="1"/>
    <col min="13027" max="13027" width="9.140625" customWidth="1"/>
    <col min="13028" max="13028" width="15.140625" customWidth="1"/>
    <col min="13030" max="13030" width="9.140625" customWidth="1"/>
    <col min="13277" max="13277" width="12.42578125" customWidth="1"/>
    <col min="13278" max="13278" width="11.85546875" customWidth="1"/>
    <col min="13279" max="13279" width="17.140625" customWidth="1"/>
    <col min="13280" max="13280" width="19.42578125" customWidth="1"/>
    <col min="13281" max="13281" width="16" customWidth="1"/>
    <col min="13282" max="13282" width="17.85546875" customWidth="1"/>
    <col min="13283" max="13283" width="9.140625" customWidth="1"/>
    <col min="13284" max="13284" width="15.140625" customWidth="1"/>
    <col min="13286" max="13286" width="9.140625" customWidth="1"/>
    <col min="13533" max="13533" width="12.42578125" customWidth="1"/>
    <col min="13534" max="13534" width="11.85546875" customWidth="1"/>
    <col min="13535" max="13535" width="17.140625" customWidth="1"/>
    <col min="13536" max="13536" width="19.42578125" customWidth="1"/>
    <col min="13537" max="13537" width="16" customWidth="1"/>
    <col min="13538" max="13538" width="17.85546875" customWidth="1"/>
    <col min="13539" max="13539" width="9.140625" customWidth="1"/>
    <col min="13540" max="13540" width="15.140625" customWidth="1"/>
    <col min="13542" max="13542" width="9.140625" customWidth="1"/>
    <col min="13789" max="13789" width="12.42578125" customWidth="1"/>
    <col min="13790" max="13790" width="11.85546875" customWidth="1"/>
    <col min="13791" max="13791" width="17.140625" customWidth="1"/>
    <col min="13792" max="13792" width="19.42578125" customWidth="1"/>
    <col min="13793" max="13793" width="16" customWidth="1"/>
    <col min="13794" max="13794" width="17.85546875" customWidth="1"/>
    <col min="13795" max="13795" width="9.140625" customWidth="1"/>
    <col min="13796" max="13796" width="15.140625" customWidth="1"/>
    <col min="13798" max="13798" width="9.140625" customWidth="1"/>
    <col min="14045" max="14045" width="12.42578125" customWidth="1"/>
    <col min="14046" max="14046" width="11.85546875" customWidth="1"/>
    <col min="14047" max="14047" width="17.140625" customWidth="1"/>
    <col min="14048" max="14048" width="19.42578125" customWidth="1"/>
    <col min="14049" max="14049" width="16" customWidth="1"/>
    <col min="14050" max="14050" width="17.85546875" customWidth="1"/>
    <col min="14051" max="14051" width="9.140625" customWidth="1"/>
    <col min="14052" max="14052" width="15.140625" customWidth="1"/>
    <col min="14054" max="14054" width="9.140625" customWidth="1"/>
    <col min="14301" max="14301" width="12.42578125" customWidth="1"/>
    <col min="14302" max="14302" width="11.85546875" customWidth="1"/>
    <col min="14303" max="14303" width="17.140625" customWidth="1"/>
    <col min="14304" max="14304" width="19.42578125" customWidth="1"/>
    <col min="14305" max="14305" width="16" customWidth="1"/>
    <col min="14306" max="14306" width="17.85546875" customWidth="1"/>
    <col min="14307" max="14307" width="9.140625" customWidth="1"/>
    <col min="14308" max="14308" width="15.140625" customWidth="1"/>
    <col min="14310" max="14310" width="9.140625" customWidth="1"/>
    <col min="14557" max="14557" width="12.42578125" customWidth="1"/>
    <col min="14558" max="14558" width="11.85546875" customWidth="1"/>
    <col min="14559" max="14559" width="17.140625" customWidth="1"/>
    <col min="14560" max="14560" width="19.42578125" customWidth="1"/>
    <col min="14561" max="14561" width="16" customWidth="1"/>
    <col min="14562" max="14562" width="17.85546875" customWidth="1"/>
    <col min="14563" max="14563" width="9.140625" customWidth="1"/>
    <col min="14564" max="14564" width="15.140625" customWidth="1"/>
    <col min="14566" max="14566" width="9.140625" customWidth="1"/>
    <col min="14813" max="14813" width="12.42578125" customWidth="1"/>
    <col min="14814" max="14814" width="11.85546875" customWidth="1"/>
    <col min="14815" max="14815" width="17.140625" customWidth="1"/>
    <col min="14816" max="14816" width="19.42578125" customWidth="1"/>
    <col min="14817" max="14817" width="16" customWidth="1"/>
    <col min="14818" max="14818" width="17.85546875" customWidth="1"/>
    <col min="14819" max="14819" width="9.140625" customWidth="1"/>
    <col min="14820" max="14820" width="15.140625" customWidth="1"/>
    <col min="14822" max="14822" width="9.140625" customWidth="1"/>
    <col min="15069" max="15069" width="12.42578125" customWidth="1"/>
    <col min="15070" max="15070" width="11.85546875" customWidth="1"/>
    <col min="15071" max="15071" width="17.140625" customWidth="1"/>
    <col min="15072" max="15072" width="19.42578125" customWidth="1"/>
    <col min="15073" max="15073" width="16" customWidth="1"/>
    <col min="15074" max="15074" width="17.85546875" customWidth="1"/>
    <col min="15075" max="15075" width="9.140625" customWidth="1"/>
    <col min="15076" max="15076" width="15.140625" customWidth="1"/>
    <col min="15078" max="15078" width="9.140625" customWidth="1"/>
    <col min="15325" max="15325" width="12.42578125" customWidth="1"/>
    <col min="15326" max="15326" width="11.85546875" customWidth="1"/>
    <col min="15327" max="15327" width="17.140625" customWidth="1"/>
    <col min="15328" max="15328" width="19.42578125" customWidth="1"/>
    <col min="15329" max="15329" width="16" customWidth="1"/>
    <col min="15330" max="15330" width="17.85546875" customWidth="1"/>
    <col min="15331" max="15331" width="9.140625" customWidth="1"/>
    <col min="15332" max="15332" width="15.140625" customWidth="1"/>
    <col min="15334" max="15334" width="9.140625" customWidth="1"/>
    <col min="15581" max="15581" width="12.42578125" customWidth="1"/>
    <col min="15582" max="15582" width="11.85546875" customWidth="1"/>
    <col min="15583" max="15583" width="17.140625" customWidth="1"/>
    <col min="15584" max="15584" width="19.42578125" customWidth="1"/>
    <col min="15585" max="15585" width="16" customWidth="1"/>
    <col min="15586" max="15586" width="17.85546875" customWidth="1"/>
    <col min="15587" max="15587" width="9.140625" customWidth="1"/>
    <col min="15588" max="15588" width="15.140625" customWidth="1"/>
    <col min="15590" max="15590" width="9.140625" customWidth="1"/>
    <col min="15837" max="15837" width="12.42578125" customWidth="1"/>
    <col min="15838" max="15838" width="11.85546875" customWidth="1"/>
    <col min="15839" max="15839" width="17.140625" customWidth="1"/>
    <col min="15840" max="15840" width="19.42578125" customWidth="1"/>
    <col min="15841" max="15841" width="16" customWidth="1"/>
    <col min="15842" max="15842" width="17.85546875" customWidth="1"/>
    <col min="15843" max="15843" width="9.140625" customWidth="1"/>
    <col min="15844" max="15844" width="15.140625" customWidth="1"/>
    <col min="15846" max="15846" width="9.140625" customWidth="1"/>
    <col min="16093" max="16093" width="12.42578125" customWidth="1"/>
    <col min="16094" max="16094" width="11.85546875" customWidth="1"/>
    <col min="16095" max="16095" width="17.140625" customWidth="1"/>
    <col min="16096" max="16096" width="19.42578125" customWidth="1"/>
    <col min="16097" max="16097" width="16" customWidth="1"/>
    <col min="16098" max="16098" width="17.85546875" customWidth="1"/>
    <col min="16099" max="16099" width="9.140625" customWidth="1"/>
    <col min="16100" max="16100" width="15.140625" customWidth="1"/>
    <col min="16102" max="16102" width="9.140625" customWidth="1"/>
    <col min="16349" max="16349" width="9.140625" customWidth="1"/>
    <col min="16353" max="16353" width="9.140625" customWidth="1"/>
    <col min="16369" max="16369" width="9.140625" customWidth="1"/>
  </cols>
  <sheetData>
    <row r="1" spans="1:15" ht="26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15" ht="66" customHeight="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</row>
    <row r="3" spans="1:15" ht="21" customHeight="1" x14ac:dyDescent="0.25">
      <c r="A3" s="5"/>
      <c r="B3" s="5"/>
      <c r="C3" s="5"/>
      <c r="D3" s="5"/>
      <c r="E3" s="5"/>
      <c r="F3" s="5"/>
      <c r="G3" s="6"/>
      <c r="H3" s="6"/>
      <c r="I3" s="5"/>
      <c r="J3" s="7" t="s">
        <v>2</v>
      </c>
      <c r="K3" s="3"/>
      <c r="L3" s="3"/>
      <c r="M3" s="3"/>
      <c r="N3" s="3"/>
      <c r="O3" s="3"/>
    </row>
    <row r="4" spans="1:15" ht="21" customHeight="1" x14ac:dyDescent="0.25">
      <c r="A4" s="7"/>
      <c r="B4" s="7"/>
      <c r="C4" s="6"/>
      <c r="D4" s="8"/>
      <c r="E4" s="8"/>
      <c r="F4" s="8"/>
      <c r="G4" s="6"/>
      <c r="H4" s="6"/>
      <c r="I4" s="9"/>
      <c r="J4" s="10" t="s">
        <v>3</v>
      </c>
      <c r="K4" s="3"/>
      <c r="L4" s="3"/>
      <c r="M4" s="3"/>
      <c r="N4" s="3"/>
      <c r="O4" s="3"/>
    </row>
    <row r="5" spans="1:15" ht="21" customHeight="1" x14ac:dyDescent="0.25">
      <c r="A5" s="11" t="s">
        <v>4</v>
      </c>
      <c r="B5" s="12"/>
      <c r="C5" s="12"/>
      <c r="D5" s="13"/>
      <c r="E5" s="14" t="s">
        <v>5</v>
      </c>
      <c r="F5" s="12"/>
      <c r="G5" s="12"/>
      <c r="H5" s="12"/>
      <c r="I5" s="12"/>
      <c r="J5" s="13"/>
      <c r="K5" s="3"/>
      <c r="L5" s="3"/>
      <c r="M5" s="3"/>
      <c r="N5" s="3"/>
      <c r="O5" s="3"/>
    </row>
    <row r="6" spans="1:15" ht="21" customHeight="1" x14ac:dyDescent="0.25">
      <c r="A6" s="15" t="s">
        <v>6</v>
      </c>
      <c r="B6" s="2"/>
      <c r="C6" s="2"/>
      <c r="D6" s="16"/>
      <c r="E6" s="17" t="s">
        <v>7</v>
      </c>
      <c r="F6" s="2"/>
      <c r="G6" s="2"/>
      <c r="H6" s="2"/>
      <c r="I6" s="2"/>
      <c r="J6" s="16"/>
      <c r="K6" s="3"/>
      <c r="L6" s="3"/>
      <c r="M6" s="3"/>
      <c r="N6" s="3"/>
      <c r="O6" s="3"/>
    </row>
    <row r="7" spans="1:15" ht="21" customHeight="1" x14ac:dyDescent="0.25">
      <c r="A7" s="15" t="s">
        <v>8</v>
      </c>
      <c r="B7" s="2"/>
      <c r="C7" s="2"/>
      <c r="D7" s="16"/>
      <c r="E7" s="17" t="s">
        <v>9</v>
      </c>
      <c r="F7" s="2"/>
      <c r="G7" s="2"/>
      <c r="H7" s="2"/>
      <c r="I7" s="2"/>
      <c r="J7" s="16"/>
      <c r="K7" s="3"/>
      <c r="L7" s="3"/>
      <c r="M7" s="3"/>
      <c r="N7" s="3"/>
      <c r="O7" s="3"/>
    </row>
    <row r="8" spans="1:15" ht="21" customHeight="1" x14ac:dyDescent="0.25">
      <c r="A8" s="15" t="s">
        <v>10</v>
      </c>
      <c r="B8" s="2"/>
      <c r="C8" s="2"/>
      <c r="D8" s="16"/>
      <c r="E8" s="17" t="s">
        <v>11</v>
      </c>
      <c r="F8" s="2"/>
      <c r="G8" s="2"/>
      <c r="H8" s="2"/>
      <c r="I8" s="2"/>
      <c r="J8" s="16"/>
      <c r="K8" s="3"/>
      <c r="L8" s="3"/>
      <c r="M8" s="3"/>
      <c r="N8" s="3"/>
      <c r="O8" s="3"/>
    </row>
    <row r="9" spans="1:15" ht="21" customHeight="1" x14ac:dyDescent="0.25">
      <c r="A9" s="18" t="s">
        <v>12</v>
      </c>
      <c r="B9" s="19"/>
      <c r="C9" s="19"/>
      <c r="D9" s="20"/>
      <c r="E9" s="21" t="s">
        <v>13</v>
      </c>
      <c r="F9" s="19"/>
      <c r="G9" s="19"/>
      <c r="H9" s="19"/>
      <c r="I9" s="19"/>
      <c r="J9" s="20"/>
      <c r="K9" s="3"/>
      <c r="L9" s="3"/>
      <c r="M9" s="3"/>
      <c r="N9" s="3"/>
      <c r="O9" s="3"/>
    </row>
    <row r="10" spans="1:15" ht="21" customHeight="1" x14ac:dyDescent="0.25">
      <c r="A10" s="22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</row>
    <row r="11" spans="1:15" ht="21" customHeight="1" x14ac:dyDescent="0.25">
      <c r="A11" s="23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</row>
    <row r="12" spans="1:15" ht="42" customHeight="1" x14ac:dyDescent="0.25">
      <c r="A12" s="24" t="s">
        <v>16</v>
      </c>
      <c r="B12" s="24" t="s">
        <v>17</v>
      </c>
      <c r="C12" s="24" t="s">
        <v>18</v>
      </c>
      <c r="D12" s="24" t="s">
        <v>19</v>
      </c>
      <c r="E12" s="24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4" t="s">
        <v>25</v>
      </c>
      <c r="K12" s="24" t="s">
        <v>26</v>
      </c>
      <c r="L12" s="24" t="s">
        <v>27</v>
      </c>
      <c r="M12" s="24" t="s">
        <v>28</v>
      </c>
      <c r="N12" s="3"/>
      <c r="O12" s="24" t="s">
        <v>29</v>
      </c>
    </row>
    <row r="13" spans="1:15" ht="17.45" customHeight="1" x14ac:dyDescent="0.25">
      <c r="A13" s="25" t="s">
        <v>30</v>
      </c>
      <c r="B13" s="26"/>
      <c r="C13" s="26"/>
      <c r="D13" s="26"/>
      <c r="E13" s="26"/>
      <c r="F13" s="27">
        <f>SUM(F14:F49)</f>
        <v>17935</v>
      </c>
      <c r="G13" s="28"/>
      <c r="H13" s="27">
        <f>SUM(H14:H49)</f>
        <v>348</v>
      </c>
      <c r="I13" s="29"/>
      <c r="J13" s="30"/>
      <c r="K13" s="30"/>
      <c r="L13" s="30"/>
      <c r="M13" s="30"/>
      <c r="N13" s="3"/>
      <c r="O13" s="30"/>
    </row>
    <row r="14" spans="1:15" ht="17.45" customHeight="1" x14ac:dyDescent="0.25">
      <c r="A14" s="31">
        <v>1</v>
      </c>
      <c r="B14" s="32" t="s">
        <v>31</v>
      </c>
      <c r="C14" s="31" t="s">
        <v>32</v>
      </c>
      <c r="D14" s="33">
        <v>32</v>
      </c>
      <c r="E14" s="33">
        <v>81.3</v>
      </c>
      <c r="F14" s="34">
        <v>205</v>
      </c>
      <c r="G14" s="33">
        <v>100</v>
      </c>
      <c r="H14" s="35">
        <v>2</v>
      </c>
      <c r="I14" s="36">
        <v>0.68799999999999994</v>
      </c>
      <c r="J14" s="36">
        <v>141.04</v>
      </c>
      <c r="K14" s="37" t="s">
        <v>33</v>
      </c>
      <c r="L14" s="37" t="s">
        <v>34</v>
      </c>
      <c r="M14" s="38"/>
      <c r="N14" s="3"/>
      <c r="O14" s="33">
        <v>401032</v>
      </c>
    </row>
    <row r="15" spans="1:15" ht="17.45" customHeight="1" x14ac:dyDescent="0.25">
      <c r="A15" s="31">
        <v>2</v>
      </c>
      <c r="B15" s="32" t="s">
        <v>35</v>
      </c>
      <c r="C15" s="31" t="s">
        <v>36</v>
      </c>
      <c r="D15" s="33">
        <v>33</v>
      </c>
      <c r="E15" s="33">
        <v>83.8</v>
      </c>
      <c r="F15" s="34">
        <v>215</v>
      </c>
      <c r="G15" s="33">
        <v>100</v>
      </c>
      <c r="H15" s="35">
        <v>3</v>
      </c>
      <c r="I15" s="36">
        <v>0.70950000000000002</v>
      </c>
      <c r="J15" s="36">
        <v>152.54</v>
      </c>
      <c r="K15" s="37" t="s">
        <v>37</v>
      </c>
      <c r="L15" s="37" t="s">
        <v>38</v>
      </c>
      <c r="M15" s="38"/>
      <c r="N15" s="3"/>
      <c r="O15" s="33">
        <v>401032</v>
      </c>
    </row>
    <row r="16" spans="1:15" ht="17.45" customHeight="1" x14ac:dyDescent="0.25">
      <c r="A16" s="31">
        <v>3</v>
      </c>
      <c r="B16" s="32" t="s">
        <v>39</v>
      </c>
      <c r="C16" s="31" t="s">
        <v>40</v>
      </c>
      <c r="D16" s="33">
        <v>34</v>
      </c>
      <c r="E16" s="33">
        <v>86.4</v>
      </c>
      <c r="F16" s="34">
        <v>213</v>
      </c>
      <c r="G16" s="33">
        <v>100</v>
      </c>
      <c r="H16" s="35">
        <v>3</v>
      </c>
      <c r="I16" s="36">
        <v>0.73099999999999998</v>
      </c>
      <c r="J16" s="36">
        <v>155.69999999999999</v>
      </c>
      <c r="K16" s="37" t="s">
        <v>41</v>
      </c>
      <c r="L16" s="37" t="s">
        <v>42</v>
      </c>
      <c r="M16" s="38"/>
      <c r="N16" s="3"/>
      <c r="O16" s="33">
        <v>401032</v>
      </c>
    </row>
    <row r="17" spans="1:15" ht="17.45" customHeight="1" x14ac:dyDescent="0.25">
      <c r="A17" s="31">
        <v>4</v>
      </c>
      <c r="B17" s="32" t="s">
        <v>43</v>
      </c>
      <c r="C17" s="31" t="s">
        <v>44</v>
      </c>
      <c r="D17" s="33">
        <v>35</v>
      </c>
      <c r="E17" s="33">
        <v>88.9</v>
      </c>
      <c r="F17" s="34">
        <v>1451</v>
      </c>
      <c r="G17" s="33">
        <v>100</v>
      </c>
      <c r="H17" s="35">
        <v>15</v>
      </c>
      <c r="I17" s="36">
        <v>0.75249999999999995</v>
      </c>
      <c r="J17" s="36">
        <v>1091.8800000000001</v>
      </c>
      <c r="K17" s="37" t="s">
        <v>45</v>
      </c>
      <c r="L17" s="37" t="s">
        <v>46</v>
      </c>
      <c r="M17" s="38"/>
      <c r="N17" s="3"/>
      <c r="O17" s="33">
        <v>401032</v>
      </c>
    </row>
    <row r="18" spans="1:15" ht="17.45" customHeight="1" x14ac:dyDescent="0.25">
      <c r="A18" s="31">
        <v>5</v>
      </c>
      <c r="B18" s="32" t="s">
        <v>47</v>
      </c>
      <c r="C18" s="31" t="s">
        <v>48</v>
      </c>
      <c r="D18" s="33">
        <v>36</v>
      </c>
      <c r="E18" s="33">
        <v>91.4</v>
      </c>
      <c r="F18" s="34">
        <v>724</v>
      </c>
      <c r="G18" s="33">
        <v>100</v>
      </c>
      <c r="H18" s="35">
        <v>8</v>
      </c>
      <c r="I18" s="36">
        <v>0.77400000000000002</v>
      </c>
      <c r="J18" s="36">
        <v>560.38</v>
      </c>
      <c r="K18" s="37" t="s">
        <v>49</v>
      </c>
      <c r="L18" s="37" t="s">
        <v>50</v>
      </c>
      <c r="M18" s="38"/>
      <c r="N18" s="3"/>
      <c r="O18" s="33">
        <v>401032</v>
      </c>
    </row>
    <row r="19" spans="1:15" ht="17.45" customHeight="1" x14ac:dyDescent="0.25">
      <c r="A19" s="31">
        <v>6</v>
      </c>
      <c r="B19" s="32" t="s">
        <v>51</v>
      </c>
      <c r="C19" s="31" t="s">
        <v>52</v>
      </c>
      <c r="D19" s="33">
        <v>37</v>
      </c>
      <c r="E19" s="33">
        <v>94</v>
      </c>
      <c r="F19" s="34">
        <v>536</v>
      </c>
      <c r="G19" s="33">
        <v>100</v>
      </c>
      <c r="H19" s="35">
        <v>6</v>
      </c>
      <c r="I19" s="36">
        <v>0.79549999999999998</v>
      </c>
      <c r="J19" s="36">
        <v>426.39</v>
      </c>
      <c r="K19" s="37" t="s">
        <v>53</v>
      </c>
      <c r="L19" s="37" t="s">
        <v>54</v>
      </c>
      <c r="M19" s="38"/>
      <c r="N19" s="3"/>
      <c r="O19" s="33">
        <v>401032</v>
      </c>
    </row>
    <row r="20" spans="1:15" ht="17.45" customHeight="1" x14ac:dyDescent="0.25">
      <c r="A20" s="31">
        <v>7</v>
      </c>
      <c r="B20" s="32" t="s">
        <v>55</v>
      </c>
      <c r="C20" s="31" t="s">
        <v>56</v>
      </c>
      <c r="D20" s="33">
        <v>38</v>
      </c>
      <c r="E20" s="33">
        <v>96.5</v>
      </c>
      <c r="F20" s="34">
        <v>729</v>
      </c>
      <c r="G20" s="33">
        <v>100</v>
      </c>
      <c r="H20" s="35">
        <v>12</v>
      </c>
      <c r="I20" s="36">
        <v>0.81699999999999995</v>
      </c>
      <c r="J20" s="36">
        <v>595.59</v>
      </c>
      <c r="K20" s="37" t="s">
        <v>57</v>
      </c>
      <c r="L20" s="37" t="s">
        <v>58</v>
      </c>
      <c r="M20" s="38"/>
      <c r="N20" s="3"/>
      <c r="O20" s="33">
        <v>401032</v>
      </c>
    </row>
    <row r="21" spans="1:15" ht="17.45" customHeight="1" x14ac:dyDescent="0.25">
      <c r="A21" s="31">
        <v>8</v>
      </c>
      <c r="B21" s="32" t="s">
        <v>59</v>
      </c>
      <c r="C21" s="31" t="s">
        <v>60</v>
      </c>
      <c r="D21" s="33">
        <v>39</v>
      </c>
      <c r="E21" s="33">
        <v>99.1</v>
      </c>
      <c r="F21" s="34">
        <v>427</v>
      </c>
      <c r="G21" s="33">
        <v>80</v>
      </c>
      <c r="H21" s="35">
        <v>6</v>
      </c>
      <c r="I21" s="36">
        <v>0.83850000000000002</v>
      </c>
      <c r="J21" s="36">
        <v>358.04</v>
      </c>
      <c r="K21" s="37" t="s">
        <v>61</v>
      </c>
      <c r="L21" s="37" t="s">
        <v>62</v>
      </c>
      <c r="M21" s="38"/>
      <c r="N21" s="3"/>
      <c r="O21" s="33">
        <v>401032</v>
      </c>
    </row>
    <row r="22" spans="1:15" ht="17.45" customHeight="1" x14ac:dyDescent="0.25">
      <c r="A22" s="31">
        <v>9</v>
      </c>
      <c r="B22" s="32" t="s">
        <v>63</v>
      </c>
      <c r="C22" s="31" t="s">
        <v>64</v>
      </c>
      <c r="D22" s="33">
        <v>40</v>
      </c>
      <c r="E22" s="33">
        <v>101.6</v>
      </c>
      <c r="F22" s="34">
        <v>592</v>
      </c>
      <c r="G22" s="33">
        <v>80</v>
      </c>
      <c r="H22" s="35">
        <v>8</v>
      </c>
      <c r="I22" s="36">
        <v>0.86</v>
      </c>
      <c r="J22" s="36">
        <v>509.12</v>
      </c>
      <c r="K22" s="37" t="s">
        <v>65</v>
      </c>
      <c r="L22" s="37" t="s">
        <v>66</v>
      </c>
      <c r="M22" s="38"/>
      <c r="N22" s="3"/>
      <c r="O22" s="33">
        <v>401032</v>
      </c>
    </row>
    <row r="23" spans="1:15" ht="17.45" customHeight="1" x14ac:dyDescent="0.25">
      <c r="A23" s="31">
        <v>10</v>
      </c>
      <c r="B23" s="32" t="s">
        <v>67</v>
      </c>
      <c r="C23" s="31" t="s">
        <v>68</v>
      </c>
      <c r="D23" s="33">
        <v>41</v>
      </c>
      <c r="E23" s="33">
        <v>104.1</v>
      </c>
      <c r="F23" s="34">
        <v>669</v>
      </c>
      <c r="G23" s="33">
        <v>80</v>
      </c>
      <c r="H23" s="35">
        <v>15</v>
      </c>
      <c r="I23" s="36">
        <v>0.88149999999999995</v>
      </c>
      <c r="J23" s="36">
        <v>589.72</v>
      </c>
      <c r="K23" s="37" t="s">
        <v>69</v>
      </c>
      <c r="L23" s="37" t="s">
        <v>70</v>
      </c>
      <c r="M23" s="38"/>
      <c r="N23" s="3"/>
      <c r="O23" s="33">
        <v>401032</v>
      </c>
    </row>
    <row r="24" spans="1:15" ht="17.45" customHeight="1" x14ac:dyDescent="0.25">
      <c r="A24" s="31">
        <v>11</v>
      </c>
      <c r="B24" s="32" t="s">
        <v>71</v>
      </c>
      <c r="C24" s="31" t="s">
        <v>72</v>
      </c>
      <c r="D24" s="33">
        <v>42</v>
      </c>
      <c r="E24" s="33">
        <v>106.7</v>
      </c>
      <c r="F24" s="34">
        <v>425</v>
      </c>
      <c r="G24" s="33">
        <v>80</v>
      </c>
      <c r="H24" s="35">
        <v>15</v>
      </c>
      <c r="I24" s="36">
        <v>0.90300000000000002</v>
      </c>
      <c r="J24" s="36">
        <v>383.78</v>
      </c>
      <c r="K24" s="37" t="s">
        <v>73</v>
      </c>
      <c r="L24" s="37" t="s">
        <v>74</v>
      </c>
      <c r="M24" s="38"/>
      <c r="N24" s="3"/>
      <c r="O24" s="33">
        <v>401032</v>
      </c>
    </row>
    <row r="25" spans="1:15" ht="17.45" customHeight="1" x14ac:dyDescent="0.25">
      <c r="A25" s="31">
        <v>12</v>
      </c>
      <c r="B25" s="32" t="s">
        <v>75</v>
      </c>
      <c r="C25" s="31" t="s">
        <v>76</v>
      </c>
      <c r="D25" s="33">
        <v>43</v>
      </c>
      <c r="E25" s="33">
        <v>109.2</v>
      </c>
      <c r="F25" s="34">
        <v>269</v>
      </c>
      <c r="G25" s="33">
        <v>80</v>
      </c>
      <c r="H25" s="35">
        <v>10</v>
      </c>
      <c r="I25" s="36">
        <v>0.92449999999999999</v>
      </c>
      <c r="J25" s="36">
        <v>248.69</v>
      </c>
      <c r="K25" s="37" t="s">
        <v>77</v>
      </c>
      <c r="L25" s="37" t="s">
        <v>78</v>
      </c>
      <c r="M25" s="38"/>
      <c r="N25" s="3"/>
      <c r="O25" s="33">
        <v>401032</v>
      </c>
    </row>
    <row r="26" spans="1:15" ht="17.45" customHeight="1" x14ac:dyDescent="0.25">
      <c r="A26" s="31">
        <v>13</v>
      </c>
      <c r="B26" s="32" t="s">
        <v>79</v>
      </c>
      <c r="C26" s="31" t="s">
        <v>80</v>
      </c>
      <c r="D26" s="33">
        <v>44</v>
      </c>
      <c r="E26" s="33">
        <v>111.8</v>
      </c>
      <c r="F26" s="34">
        <v>587</v>
      </c>
      <c r="G26" s="33">
        <v>80</v>
      </c>
      <c r="H26" s="35">
        <v>12</v>
      </c>
      <c r="I26" s="36">
        <v>0.94599999999999995</v>
      </c>
      <c r="J26" s="36">
        <v>555.29999999999995</v>
      </c>
      <c r="K26" s="37" t="s">
        <v>81</v>
      </c>
      <c r="L26" s="37" t="s">
        <v>82</v>
      </c>
      <c r="M26" s="38"/>
      <c r="N26" s="3"/>
      <c r="O26" s="33">
        <v>401032</v>
      </c>
    </row>
    <row r="27" spans="1:15" ht="17.45" customHeight="1" x14ac:dyDescent="0.25">
      <c r="A27" s="31">
        <v>14</v>
      </c>
      <c r="B27" s="32" t="s">
        <v>83</v>
      </c>
      <c r="C27" s="31" t="s">
        <v>84</v>
      </c>
      <c r="D27" s="33">
        <v>45</v>
      </c>
      <c r="E27" s="33">
        <v>114.3</v>
      </c>
      <c r="F27" s="34">
        <v>1075</v>
      </c>
      <c r="G27" s="33">
        <v>80</v>
      </c>
      <c r="H27" s="35">
        <v>20</v>
      </c>
      <c r="I27" s="36">
        <v>0.96750000000000003</v>
      </c>
      <c r="J27" s="36">
        <v>1040.06</v>
      </c>
      <c r="K27" s="37" t="s">
        <v>85</v>
      </c>
      <c r="L27" s="37" t="s">
        <v>86</v>
      </c>
      <c r="M27" s="38"/>
      <c r="N27" s="3"/>
      <c r="O27" s="33">
        <v>401032</v>
      </c>
    </row>
    <row r="28" spans="1:15" ht="17.45" customHeight="1" x14ac:dyDescent="0.25">
      <c r="A28" s="31">
        <v>15</v>
      </c>
      <c r="B28" s="32" t="s">
        <v>87</v>
      </c>
      <c r="C28" s="31" t="s">
        <v>88</v>
      </c>
      <c r="D28" s="33">
        <v>46</v>
      </c>
      <c r="E28" s="33">
        <v>116.8</v>
      </c>
      <c r="F28" s="34">
        <v>587</v>
      </c>
      <c r="G28" s="33">
        <v>80</v>
      </c>
      <c r="H28" s="35">
        <v>14</v>
      </c>
      <c r="I28" s="36">
        <v>0.98899999999999999</v>
      </c>
      <c r="J28" s="36">
        <v>580.54</v>
      </c>
      <c r="K28" s="37" t="s">
        <v>89</v>
      </c>
      <c r="L28" s="37" t="s">
        <v>90</v>
      </c>
      <c r="M28" s="38"/>
      <c r="N28" s="3"/>
      <c r="O28" s="33">
        <v>401032</v>
      </c>
    </row>
    <row r="29" spans="1:15" ht="17.45" customHeight="1" x14ac:dyDescent="0.25">
      <c r="A29" s="31">
        <v>16</v>
      </c>
      <c r="B29" s="32" t="s">
        <v>91</v>
      </c>
      <c r="C29" s="31" t="s">
        <v>92</v>
      </c>
      <c r="D29" s="33">
        <v>47</v>
      </c>
      <c r="E29" s="33">
        <v>119.4</v>
      </c>
      <c r="F29" s="34">
        <v>162</v>
      </c>
      <c r="G29" s="33">
        <v>80</v>
      </c>
      <c r="H29" s="35">
        <v>14</v>
      </c>
      <c r="I29" s="36">
        <v>1.0105</v>
      </c>
      <c r="J29" s="36">
        <v>163.69999999999999</v>
      </c>
      <c r="K29" s="37" t="s">
        <v>93</v>
      </c>
      <c r="L29" s="37" t="s">
        <v>94</v>
      </c>
      <c r="M29" s="38"/>
      <c r="N29" s="3"/>
      <c r="O29" s="33">
        <v>401032</v>
      </c>
    </row>
    <row r="30" spans="1:15" ht="17.45" customHeight="1" x14ac:dyDescent="0.25">
      <c r="A30" s="31">
        <v>17</v>
      </c>
      <c r="B30" s="32" t="s">
        <v>95</v>
      </c>
      <c r="C30" s="31" t="s">
        <v>96</v>
      </c>
      <c r="D30" s="33">
        <v>48</v>
      </c>
      <c r="E30" s="33">
        <v>121.9</v>
      </c>
      <c r="F30" s="34">
        <v>421</v>
      </c>
      <c r="G30" s="33">
        <v>80</v>
      </c>
      <c r="H30" s="35">
        <v>6</v>
      </c>
      <c r="I30" s="36">
        <v>1.032</v>
      </c>
      <c r="J30" s="36">
        <v>434.47</v>
      </c>
      <c r="K30" s="37" t="s">
        <v>97</v>
      </c>
      <c r="L30" s="37" t="s">
        <v>98</v>
      </c>
      <c r="M30" s="38"/>
      <c r="N30" s="3"/>
      <c r="O30" s="33">
        <v>401032</v>
      </c>
    </row>
    <row r="31" spans="1:15" ht="17.45" customHeight="1" x14ac:dyDescent="0.25">
      <c r="A31" s="31">
        <v>18</v>
      </c>
      <c r="B31" s="32" t="s">
        <v>99</v>
      </c>
      <c r="C31" s="31" t="s">
        <v>100</v>
      </c>
      <c r="D31" s="33">
        <v>49</v>
      </c>
      <c r="E31" s="33">
        <v>124.5</v>
      </c>
      <c r="F31" s="34">
        <v>581</v>
      </c>
      <c r="G31" s="33">
        <v>80</v>
      </c>
      <c r="H31" s="35">
        <v>12</v>
      </c>
      <c r="I31" s="36">
        <v>1.0535000000000001</v>
      </c>
      <c r="J31" s="36">
        <v>612.08000000000004</v>
      </c>
      <c r="K31" s="37" t="s">
        <v>101</v>
      </c>
      <c r="L31" s="37" t="s">
        <v>102</v>
      </c>
      <c r="M31" s="38"/>
      <c r="N31" s="3"/>
      <c r="O31" s="33">
        <v>401032</v>
      </c>
    </row>
    <row r="32" spans="1:15" ht="17.45" customHeight="1" x14ac:dyDescent="0.25">
      <c r="A32" s="31">
        <v>19</v>
      </c>
      <c r="B32" s="32" t="s">
        <v>103</v>
      </c>
      <c r="C32" s="31" t="s">
        <v>104</v>
      </c>
      <c r="D32" s="33">
        <v>50</v>
      </c>
      <c r="E32" s="33">
        <v>127</v>
      </c>
      <c r="F32" s="34">
        <v>985</v>
      </c>
      <c r="G32" s="33">
        <v>80</v>
      </c>
      <c r="H32" s="35">
        <v>17</v>
      </c>
      <c r="I32" s="36">
        <v>1.075</v>
      </c>
      <c r="J32" s="36">
        <v>1058.8800000000001</v>
      </c>
      <c r="K32" s="37" t="s">
        <v>105</v>
      </c>
      <c r="L32" s="37" t="s">
        <v>106</v>
      </c>
      <c r="M32" s="38"/>
      <c r="N32" s="3"/>
      <c r="O32" s="33">
        <v>401032</v>
      </c>
    </row>
    <row r="33" spans="1:15" ht="17.45" customHeight="1" x14ac:dyDescent="0.25">
      <c r="A33" s="31">
        <v>20</v>
      </c>
      <c r="B33" s="32" t="s">
        <v>107</v>
      </c>
      <c r="C33" s="31" t="s">
        <v>108</v>
      </c>
      <c r="D33" s="33">
        <v>51</v>
      </c>
      <c r="E33" s="33">
        <v>129.5</v>
      </c>
      <c r="F33" s="34">
        <v>566</v>
      </c>
      <c r="G33" s="33">
        <v>80</v>
      </c>
      <c r="H33" s="35">
        <v>12</v>
      </c>
      <c r="I33" s="36">
        <v>1.0965</v>
      </c>
      <c r="J33" s="36">
        <v>620.62</v>
      </c>
      <c r="K33" s="37" t="s">
        <v>109</v>
      </c>
      <c r="L33" s="37" t="s">
        <v>110</v>
      </c>
      <c r="M33" s="38"/>
      <c r="N33" s="3"/>
      <c r="O33" s="33">
        <v>401032</v>
      </c>
    </row>
    <row r="34" spans="1:15" ht="17.45" customHeight="1" x14ac:dyDescent="0.25">
      <c r="A34" s="31">
        <v>21</v>
      </c>
      <c r="B34" s="32" t="s">
        <v>111</v>
      </c>
      <c r="C34" s="31" t="s">
        <v>112</v>
      </c>
      <c r="D34" s="33">
        <v>52</v>
      </c>
      <c r="E34" s="33">
        <v>132.1</v>
      </c>
      <c r="F34" s="34">
        <v>615</v>
      </c>
      <c r="G34" s="33">
        <v>80</v>
      </c>
      <c r="H34" s="35">
        <v>10</v>
      </c>
      <c r="I34" s="36">
        <v>1.1180000000000001</v>
      </c>
      <c r="J34" s="36">
        <v>687.57</v>
      </c>
      <c r="K34" s="37" t="s">
        <v>113</v>
      </c>
      <c r="L34" s="37" t="s">
        <v>114</v>
      </c>
      <c r="M34" s="38"/>
      <c r="N34" s="3"/>
      <c r="O34" s="33">
        <v>401032</v>
      </c>
    </row>
    <row r="35" spans="1:15" ht="17.45" customHeight="1" x14ac:dyDescent="0.25">
      <c r="A35" s="31">
        <v>22</v>
      </c>
      <c r="B35" s="32" t="s">
        <v>115</v>
      </c>
      <c r="C35" s="31" t="s">
        <v>116</v>
      </c>
      <c r="D35" s="33">
        <v>53</v>
      </c>
      <c r="E35" s="33">
        <v>134.6</v>
      </c>
      <c r="F35" s="34">
        <v>1414</v>
      </c>
      <c r="G35" s="33">
        <v>80</v>
      </c>
      <c r="H35" s="35">
        <v>18</v>
      </c>
      <c r="I35" s="36">
        <v>1.1395</v>
      </c>
      <c r="J35" s="36">
        <v>1611.25</v>
      </c>
      <c r="K35" s="37" t="s">
        <v>117</v>
      </c>
      <c r="L35" s="37" t="s">
        <v>118</v>
      </c>
      <c r="M35" s="38"/>
      <c r="N35" s="3"/>
      <c r="O35" s="33">
        <v>401032</v>
      </c>
    </row>
    <row r="36" spans="1:15" ht="17.45" customHeight="1" x14ac:dyDescent="0.25">
      <c r="A36" s="31">
        <v>23</v>
      </c>
      <c r="B36" s="32" t="s">
        <v>119</v>
      </c>
      <c r="C36" s="31" t="s">
        <v>120</v>
      </c>
      <c r="D36" s="33">
        <v>54</v>
      </c>
      <c r="E36" s="33">
        <v>137.19999999999999</v>
      </c>
      <c r="F36" s="34">
        <v>828</v>
      </c>
      <c r="G36" s="33">
        <v>80</v>
      </c>
      <c r="H36" s="35">
        <v>15</v>
      </c>
      <c r="I36" s="36">
        <v>1.161</v>
      </c>
      <c r="J36" s="36">
        <v>961.31</v>
      </c>
      <c r="K36" s="37" t="s">
        <v>121</v>
      </c>
      <c r="L36" s="37" t="s">
        <v>122</v>
      </c>
      <c r="M36" s="38"/>
      <c r="N36" s="3"/>
      <c r="O36" s="33">
        <v>401032</v>
      </c>
    </row>
    <row r="37" spans="1:15" ht="17.45" customHeight="1" x14ac:dyDescent="0.25">
      <c r="A37" s="31">
        <v>24</v>
      </c>
      <c r="B37" s="32" t="s">
        <v>123</v>
      </c>
      <c r="C37" s="31" t="s">
        <v>124</v>
      </c>
      <c r="D37" s="33">
        <v>55</v>
      </c>
      <c r="E37" s="33">
        <v>139.69999999999999</v>
      </c>
      <c r="F37" s="34">
        <v>739</v>
      </c>
      <c r="G37" s="33">
        <v>80</v>
      </c>
      <c r="H37" s="35">
        <v>16</v>
      </c>
      <c r="I37" s="36">
        <v>1.1825000000000001</v>
      </c>
      <c r="J37" s="36">
        <v>873.87</v>
      </c>
      <c r="K37" s="37" t="s">
        <v>125</v>
      </c>
      <c r="L37" s="37" t="s">
        <v>126</v>
      </c>
      <c r="M37" s="38"/>
      <c r="N37" s="3"/>
      <c r="O37" s="33">
        <v>401032</v>
      </c>
    </row>
    <row r="38" spans="1:15" ht="17.45" customHeight="1" x14ac:dyDescent="0.25">
      <c r="A38" s="31">
        <v>25</v>
      </c>
      <c r="B38" s="32" t="s">
        <v>127</v>
      </c>
      <c r="C38" s="31" t="s">
        <v>128</v>
      </c>
      <c r="D38" s="33">
        <v>56</v>
      </c>
      <c r="E38" s="33">
        <v>142.19999999999999</v>
      </c>
      <c r="F38" s="34">
        <v>588</v>
      </c>
      <c r="G38" s="33">
        <v>80</v>
      </c>
      <c r="H38" s="35">
        <v>8</v>
      </c>
      <c r="I38" s="36">
        <v>1.204</v>
      </c>
      <c r="J38" s="36">
        <v>707.95</v>
      </c>
      <c r="K38" s="37" t="s">
        <v>129</v>
      </c>
      <c r="L38" s="37" t="s">
        <v>130</v>
      </c>
      <c r="M38" s="38"/>
      <c r="N38" s="3"/>
      <c r="O38" s="33">
        <v>401032</v>
      </c>
    </row>
    <row r="39" spans="1:15" ht="17.45" customHeight="1" x14ac:dyDescent="0.25">
      <c r="A39" s="31">
        <v>26</v>
      </c>
      <c r="B39" s="32" t="s">
        <v>131</v>
      </c>
      <c r="C39" s="31" t="s">
        <v>132</v>
      </c>
      <c r="D39" s="33">
        <v>58</v>
      </c>
      <c r="E39" s="33">
        <v>147.30000000000001</v>
      </c>
      <c r="F39" s="34">
        <v>432</v>
      </c>
      <c r="G39" s="33">
        <v>80</v>
      </c>
      <c r="H39" s="35">
        <v>9</v>
      </c>
      <c r="I39" s="36">
        <v>1.2470000000000001</v>
      </c>
      <c r="J39" s="36">
        <v>538.70000000000005</v>
      </c>
      <c r="K39" s="37" t="s">
        <v>133</v>
      </c>
      <c r="L39" s="37" t="s">
        <v>134</v>
      </c>
      <c r="M39" s="38"/>
      <c r="N39" s="3"/>
      <c r="O39" s="33">
        <v>401032</v>
      </c>
    </row>
    <row r="40" spans="1:15" ht="17.45" customHeight="1" x14ac:dyDescent="0.25">
      <c r="A40" s="31">
        <v>27</v>
      </c>
      <c r="B40" s="32" t="s">
        <v>135</v>
      </c>
      <c r="C40" s="31" t="s">
        <v>136</v>
      </c>
      <c r="D40" s="33">
        <v>59</v>
      </c>
      <c r="E40" s="33">
        <v>149.9</v>
      </c>
      <c r="F40" s="34">
        <v>160</v>
      </c>
      <c r="G40" s="33">
        <v>80</v>
      </c>
      <c r="H40" s="35">
        <v>4</v>
      </c>
      <c r="I40" s="36">
        <v>1.2685</v>
      </c>
      <c r="J40" s="36">
        <v>202.96</v>
      </c>
      <c r="K40" s="37" t="s">
        <v>137</v>
      </c>
      <c r="L40" s="37" t="s">
        <v>138</v>
      </c>
      <c r="M40" s="38"/>
      <c r="N40" s="3"/>
      <c r="O40" s="33">
        <v>401032</v>
      </c>
    </row>
    <row r="41" spans="1:15" ht="17.45" customHeight="1" x14ac:dyDescent="0.25">
      <c r="A41" s="31">
        <v>28</v>
      </c>
      <c r="B41" s="32" t="s">
        <v>139</v>
      </c>
      <c r="C41" s="31" t="s">
        <v>140</v>
      </c>
      <c r="D41" s="33">
        <v>60</v>
      </c>
      <c r="E41" s="33">
        <v>152.4</v>
      </c>
      <c r="F41" s="34">
        <v>129</v>
      </c>
      <c r="G41" s="33">
        <v>60</v>
      </c>
      <c r="H41" s="35">
        <v>8</v>
      </c>
      <c r="I41" s="36">
        <v>1.29</v>
      </c>
      <c r="J41" s="36">
        <v>166.41</v>
      </c>
      <c r="K41" s="37" t="s">
        <v>141</v>
      </c>
      <c r="L41" s="37" t="s">
        <v>142</v>
      </c>
      <c r="M41" s="38"/>
      <c r="N41" s="3"/>
      <c r="O41" s="33">
        <v>401032</v>
      </c>
    </row>
    <row r="42" spans="1:15" ht="17.45" customHeight="1" x14ac:dyDescent="0.25">
      <c r="A42" s="31">
        <v>29</v>
      </c>
      <c r="B42" s="32" t="s">
        <v>143</v>
      </c>
      <c r="C42" s="31" t="s">
        <v>144</v>
      </c>
      <c r="D42" s="33">
        <v>61</v>
      </c>
      <c r="E42" s="33">
        <v>154.9</v>
      </c>
      <c r="F42" s="34">
        <v>134</v>
      </c>
      <c r="G42" s="33">
        <v>60</v>
      </c>
      <c r="H42" s="35">
        <v>7</v>
      </c>
      <c r="I42" s="36">
        <v>1.3115000000000001</v>
      </c>
      <c r="J42" s="36">
        <v>175.74</v>
      </c>
      <c r="K42" s="37" t="s">
        <v>145</v>
      </c>
      <c r="L42" s="37" t="s">
        <v>146</v>
      </c>
      <c r="M42" s="38"/>
      <c r="N42" s="3"/>
      <c r="O42" s="33">
        <v>401032</v>
      </c>
    </row>
    <row r="43" spans="1:15" ht="17.45" customHeight="1" x14ac:dyDescent="0.25">
      <c r="A43" s="31">
        <v>30</v>
      </c>
      <c r="B43" s="32" t="s">
        <v>147</v>
      </c>
      <c r="C43" s="31" t="s">
        <v>148</v>
      </c>
      <c r="D43" s="33">
        <v>62</v>
      </c>
      <c r="E43" s="33">
        <v>157.5</v>
      </c>
      <c r="F43" s="34">
        <v>187</v>
      </c>
      <c r="G43" s="33">
        <v>60</v>
      </c>
      <c r="H43" s="35">
        <v>7</v>
      </c>
      <c r="I43" s="36">
        <v>1.333</v>
      </c>
      <c r="J43" s="36">
        <v>249.27</v>
      </c>
      <c r="K43" s="37" t="s">
        <v>149</v>
      </c>
      <c r="L43" s="37" t="s">
        <v>150</v>
      </c>
      <c r="M43" s="38"/>
      <c r="N43" s="3"/>
      <c r="O43" s="33">
        <v>401032</v>
      </c>
    </row>
    <row r="44" spans="1:15" ht="17.45" customHeight="1" x14ac:dyDescent="0.25">
      <c r="A44" s="31">
        <v>31</v>
      </c>
      <c r="B44" s="32" t="s">
        <v>151</v>
      </c>
      <c r="C44" s="31" t="s">
        <v>152</v>
      </c>
      <c r="D44" s="33">
        <v>63</v>
      </c>
      <c r="E44" s="33">
        <v>160</v>
      </c>
      <c r="F44" s="34">
        <v>269</v>
      </c>
      <c r="G44" s="33">
        <v>60</v>
      </c>
      <c r="H44" s="35">
        <v>5</v>
      </c>
      <c r="I44" s="36">
        <v>1.3545</v>
      </c>
      <c r="J44" s="36">
        <v>364.36</v>
      </c>
      <c r="K44" s="37" t="s">
        <v>153</v>
      </c>
      <c r="L44" s="37" t="s">
        <v>154</v>
      </c>
      <c r="M44" s="38"/>
      <c r="N44" s="3"/>
      <c r="O44" s="33">
        <v>401032</v>
      </c>
    </row>
    <row r="45" spans="1:15" ht="17.45" customHeight="1" x14ac:dyDescent="0.25">
      <c r="A45" s="31">
        <v>32</v>
      </c>
      <c r="B45" s="32" t="s">
        <v>155</v>
      </c>
      <c r="C45" s="31" t="s">
        <v>156</v>
      </c>
      <c r="D45" s="33">
        <v>65</v>
      </c>
      <c r="E45" s="33">
        <v>165.1</v>
      </c>
      <c r="F45" s="34">
        <v>129</v>
      </c>
      <c r="G45" s="33">
        <v>60</v>
      </c>
      <c r="H45" s="35">
        <v>7</v>
      </c>
      <c r="I45" s="36">
        <v>1.3975</v>
      </c>
      <c r="J45" s="36">
        <v>180.28</v>
      </c>
      <c r="K45" s="37" t="s">
        <v>157</v>
      </c>
      <c r="L45" s="37" t="s">
        <v>158</v>
      </c>
      <c r="M45" s="38"/>
      <c r="N45" s="3"/>
      <c r="O45" s="33">
        <v>401032</v>
      </c>
    </row>
    <row r="46" spans="1:15" ht="17.45" customHeight="1" x14ac:dyDescent="0.25">
      <c r="A46" s="31">
        <v>33</v>
      </c>
      <c r="B46" s="32" t="s">
        <v>159</v>
      </c>
      <c r="C46" s="31" t="s">
        <v>160</v>
      </c>
      <c r="D46" s="33">
        <v>67</v>
      </c>
      <c r="E46" s="33">
        <v>170.2</v>
      </c>
      <c r="F46" s="34">
        <v>78</v>
      </c>
      <c r="G46" s="33">
        <v>60</v>
      </c>
      <c r="H46" s="35">
        <v>5</v>
      </c>
      <c r="I46" s="36">
        <v>1.4404999999999999</v>
      </c>
      <c r="J46" s="36">
        <v>112.36</v>
      </c>
      <c r="K46" s="37" t="s">
        <v>161</v>
      </c>
      <c r="L46" s="37" t="s">
        <v>162</v>
      </c>
      <c r="M46" s="38"/>
      <c r="N46" s="3"/>
      <c r="O46" s="33">
        <v>401032</v>
      </c>
    </row>
    <row r="47" spans="1:15" ht="17.45" customHeight="1" x14ac:dyDescent="0.25">
      <c r="A47" s="31">
        <v>34</v>
      </c>
      <c r="B47" s="32" t="s">
        <v>163</v>
      </c>
      <c r="C47" s="31" t="s">
        <v>164</v>
      </c>
      <c r="D47" s="33">
        <v>68</v>
      </c>
      <c r="E47" s="33">
        <v>172.7</v>
      </c>
      <c r="F47" s="34">
        <v>63</v>
      </c>
      <c r="G47" s="33">
        <v>63</v>
      </c>
      <c r="H47" s="35">
        <v>4</v>
      </c>
      <c r="I47" s="36">
        <v>1.462</v>
      </c>
      <c r="J47" s="36">
        <v>92.11</v>
      </c>
      <c r="K47" s="37" t="s">
        <v>165</v>
      </c>
      <c r="L47" s="37" t="s">
        <v>166</v>
      </c>
      <c r="M47" s="38"/>
      <c r="N47" s="3"/>
      <c r="O47" s="33">
        <v>401032</v>
      </c>
    </row>
    <row r="48" spans="1:15" ht="17.45" customHeight="1" x14ac:dyDescent="0.25">
      <c r="A48" s="31">
        <v>35</v>
      </c>
      <c r="B48" s="32" t="s">
        <v>167</v>
      </c>
      <c r="C48" s="31" t="s">
        <v>168</v>
      </c>
      <c r="D48" s="33">
        <v>69</v>
      </c>
      <c r="E48" s="33">
        <v>175.3</v>
      </c>
      <c r="F48" s="34">
        <v>431</v>
      </c>
      <c r="G48" s="33">
        <v>60</v>
      </c>
      <c r="H48" s="35">
        <v>8</v>
      </c>
      <c r="I48" s="36">
        <v>1.4835</v>
      </c>
      <c r="J48" s="36">
        <v>639.39</v>
      </c>
      <c r="K48" s="37" t="s">
        <v>169</v>
      </c>
      <c r="L48" s="37" t="s">
        <v>170</v>
      </c>
      <c r="M48" s="38"/>
      <c r="N48" s="3"/>
      <c r="O48" s="33">
        <v>401032</v>
      </c>
    </row>
    <row r="49" spans="1:15" ht="17.45" customHeight="1" x14ac:dyDescent="0.25">
      <c r="A49" s="31">
        <v>36</v>
      </c>
      <c r="B49" s="32" t="s">
        <v>171</v>
      </c>
      <c r="C49" s="31" t="s">
        <v>172</v>
      </c>
      <c r="D49" s="33">
        <v>70</v>
      </c>
      <c r="E49" s="33">
        <v>177.8</v>
      </c>
      <c r="F49" s="34">
        <v>320</v>
      </c>
      <c r="G49" s="33">
        <v>50</v>
      </c>
      <c r="H49" s="35">
        <v>7</v>
      </c>
      <c r="I49" s="36">
        <v>1.5049999999999999</v>
      </c>
      <c r="J49" s="36">
        <v>481.6</v>
      </c>
      <c r="K49" s="37" t="s">
        <v>173</v>
      </c>
      <c r="L49" s="37" t="s">
        <v>174</v>
      </c>
      <c r="M49" s="38"/>
      <c r="N49" s="3"/>
      <c r="O49" s="33">
        <v>401032</v>
      </c>
    </row>
    <row r="50" spans="1:15" ht="17.45" customHeight="1" x14ac:dyDescent="0.25">
      <c r="A50" s="25" t="s">
        <v>175</v>
      </c>
      <c r="B50" s="26"/>
      <c r="C50" s="26"/>
      <c r="D50" s="26"/>
      <c r="E50" s="26"/>
      <c r="F50" s="27">
        <f>SUM(F51:F59)</f>
        <v>2044</v>
      </c>
      <c r="G50" s="28"/>
      <c r="H50" s="27">
        <f>SUM(H51:H59)</f>
        <v>58</v>
      </c>
      <c r="I50" s="29"/>
      <c r="J50" s="30"/>
      <c r="K50" s="30"/>
      <c r="L50" s="30"/>
      <c r="M50" s="30"/>
      <c r="N50" s="3"/>
      <c r="O50" s="30"/>
    </row>
    <row r="51" spans="1:15" ht="17.45" customHeight="1" x14ac:dyDescent="0.25">
      <c r="A51" s="31">
        <v>37</v>
      </c>
      <c r="B51" s="32" t="s">
        <v>176</v>
      </c>
      <c r="C51" s="31" t="s">
        <v>177</v>
      </c>
      <c r="D51" s="33">
        <v>72</v>
      </c>
      <c r="E51" s="33">
        <v>182.9</v>
      </c>
      <c r="F51" s="34">
        <v>213</v>
      </c>
      <c r="G51" s="33">
        <v>50</v>
      </c>
      <c r="H51" s="35">
        <v>5</v>
      </c>
      <c r="I51" s="36">
        <v>1.548</v>
      </c>
      <c r="J51" s="36">
        <v>329.72</v>
      </c>
      <c r="K51" s="37" t="s">
        <v>178</v>
      </c>
      <c r="L51" s="37" t="s">
        <v>179</v>
      </c>
      <c r="M51" s="38"/>
      <c r="N51" s="3"/>
      <c r="O51" s="33">
        <v>401034</v>
      </c>
    </row>
    <row r="52" spans="1:15" ht="17.45" customHeight="1" x14ac:dyDescent="0.25">
      <c r="A52" s="31">
        <v>38</v>
      </c>
      <c r="B52" s="32" t="s">
        <v>180</v>
      </c>
      <c r="C52" s="31" t="s">
        <v>181</v>
      </c>
      <c r="D52" s="33">
        <v>73</v>
      </c>
      <c r="E52" s="33">
        <v>185.4</v>
      </c>
      <c r="F52" s="34">
        <v>329</v>
      </c>
      <c r="G52" s="33">
        <v>50</v>
      </c>
      <c r="H52" s="35">
        <v>9</v>
      </c>
      <c r="I52" s="36">
        <v>1.5694999999999999</v>
      </c>
      <c r="J52" s="36">
        <v>516.37</v>
      </c>
      <c r="K52" s="37" t="s">
        <v>182</v>
      </c>
      <c r="L52" s="37" t="s">
        <v>183</v>
      </c>
      <c r="M52" s="38"/>
      <c r="N52" s="3"/>
      <c r="O52" s="33">
        <v>401034</v>
      </c>
    </row>
    <row r="53" spans="1:15" ht="17.45" customHeight="1" x14ac:dyDescent="0.25">
      <c r="A53" s="31">
        <v>39</v>
      </c>
      <c r="B53" s="32" t="s">
        <v>184</v>
      </c>
      <c r="C53" s="31" t="s">
        <v>185</v>
      </c>
      <c r="D53" s="33">
        <v>74</v>
      </c>
      <c r="E53" s="33">
        <v>188</v>
      </c>
      <c r="F53" s="34">
        <v>54</v>
      </c>
      <c r="G53" s="33">
        <v>54</v>
      </c>
      <c r="H53" s="35">
        <v>4</v>
      </c>
      <c r="I53" s="36">
        <v>1.591</v>
      </c>
      <c r="J53" s="36">
        <v>85.91</v>
      </c>
      <c r="K53" s="37" t="s">
        <v>186</v>
      </c>
      <c r="L53" s="37" t="s">
        <v>187</v>
      </c>
      <c r="M53" s="38"/>
      <c r="N53" s="3"/>
      <c r="O53" s="33">
        <v>401034</v>
      </c>
    </row>
    <row r="54" spans="1:15" ht="17.45" customHeight="1" x14ac:dyDescent="0.25">
      <c r="A54" s="31">
        <v>40</v>
      </c>
      <c r="B54" s="32" t="s">
        <v>188</v>
      </c>
      <c r="C54" s="31" t="s">
        <v>189</v>
      </c>
      <c r="D54" s="33">
        <v>75</v>
      </c>
      <c r="E54" s="33">
        <v>190.5</v>
      </c>
      <c r="F54" s="34">
        <v>266</v>
      </c>
      <c r="G54" s="33">
        <v>50</v>
      </c>
      <c r="H54" s="35">
        <v>9</v>
      </c>
      <c r="I54" s="36">
        <v>1.6125</v>
      </c>
      <c r="J54" s="36">
        <v>428.93</v>
      </c>
      <c r="K54" s="37" t="s">
        <v>190</v>
      </c>
      <c r="L54" s="37" t="s">
        <v>191</v>
      </c>
      <c r="M54" s="38"/>
      <c r="N54" s="3"/>
      <c r="O54" s="33">
        <v>401034</v>
      </c>
    </row>
    <row r="55" spans="1:15" ht="17.45" customHeight="1" x14ac:dyDescent="0.25">
      <c r="A55" s="31">
        <v>41</v>
      </c>
      <c r="B55" s="32" t="s">
        <v>192</v>
      </c>
      <c r="C55" s="31" t="s">
        <v>193</v>
      </c>
      <c r="D55" s="33">
        <v>76</v>
      </c>
      <c r="E55" s="33">
        <v>193</v>
      </c>
      <c r="F55" s="34">
        <v>323</v>
      </c>
      <c r="G55" s="33">
        <v>50</v>
      </c>
      <c r="H55" s="35">
        <v>11</v>
      </c>
      <c r="I55" s="36">
        <v>1.6339999999999999</v>
      </c>
      <c r="J55" s="36">
        <v>527.78</v>
      </c>
      <c r="K55" s="37" t="s">
        <v>194</v>
      </c>
      <c r="L55" s="37" t="s">
        <v>195</v>
      </c>
      <c r="M55" s="38"/>
      <c r="N55" s="3"/>
      <c r="O55" s="33">
        <v>401034</v>
      </c>
    </row>
    <row r="56" spans="1:15" ht="17.45" customHeight="1" x14ac:dyDescent="0.25">
      <c r="A56" s="31">
        <v>42</v>
      </c>
      <c r="B56" s="32" t="s">
        <v>196</v>
      </c>
      <c r="C56" s="31" t="s">
        <v>197</v>
      </c>
      <c r="D56" s="33">
        <v>77</v>
      </c>
      <c r="E56" s="33">
        <v>195.6</v>
      </c>
      <c r="F56" s="34">
        <v>269</v>
      </c>
      <c r="G56" s="33">
        <v>50</v>
      </c>
      <c r="H56" s="35">
        <v>7</v>
      </c>
      <c r="I56" s="36">
        <v>1.6555</v>
      </c>
      <c r="J56" s="36">
        <v>445.33</v>
      </c>
      <c r="K56" s="37" t="s">
        <v>198</v>
      </c>
      <c r="L56" s="37" t="s">
        <v>199</v>
      </c>
      <c r="M56" s="38"/>
      <c r="N56" s="3"/>
      <c r="O56" s="33">
        <v>401034</v>
      </c>
    </row>
    <row r="57" spans="1:15" ht="17.45" customHeight="1" x14ac:dyDescent="0.25">
      <c r="A57" s="31">
        <v>43</v>
      </c>
      <c r="B57" s="32" t="s">
        <v>200</v>
      </c>
      <c r="C57" s="31" t="s">
        <v>201</v>
      </c>
      <c r="D57" s="33">
        <v>78</v>
      </c>
      <c r="E57" s="33">
        <v>198.1</v>
      </c>
      <c r="F57" s="34">
        <v>269</v>
      </c>
      <c r="G57" s="33">
        <v>50</v>
      </c>
      <c r="H57" s="35">
        <v>6</v>
      </c>
      <c r="I57" s="36">
        <v>1.677</v>
      </c>
      <c r="J57" s="36">
        <v>451.11</v>
      </c>
      <c r="K57" s="37" t="s">
        <v>202</v>
      </c>
      <c r="L57" s="37" t="s">
        <v>203</v>
      </c>
      <c r="M57" s="38"/>
      <c r="N57" s="3"/>
      <c r="O57" s="33">
        <v>401034</v>
      </c>
    </row>
    <row r="58" spans="1:15" ht="17.45" customHeight="1" x14ac:dyDescent="0.25">
      <c r="A58" s="31">
        <v>44</v>
      </c>
      <c r="B58" s="32" t="s">
        <v>204</v>
      </c>
      <c r="C58" s="31" t="s">
        <v>205</v>
      </c>
      <c r="D58" s="33">
        <v>79</v>
      </c>
      <c r="E58" s="33">
        <v>200.7</v>
      </c>
      <c r="F58" s="34">
        <v>267</v>
      </c>
      <c r="G58" s="33">
        <v>50</v>
      </c>
      <c r="H58" s="35">
        <v>6</v>
      </c>
      <c r="I58" s="36">
        <v>1.6984999999999999</v>
      </c>
      <c r="J58" s="36">
        <v>453.5</v>
      </c>
      <c r="K58" s="37" t="s">
        <v>206</v>
      </c>
      <c r="L58" s="37" t="s">
        <v>207</v>
      </c>
      <c r="M58" s="38"/>
      <c r="N58" s="3"/>
      <c r="O58" s="33">
        <v>401034</v>
      </c>
    </row>
    <row r="59" spans="1:15" ht="17.45" customHeight="1" x14ac:dyDescent="0.25">
      <c r="A59" s="31">
        <v>45</v>
      </c>
      <c r="B59" s="32" t="s">
        <v>208</v>
      </c>
      <c r="C59" s="31" t="s">
        <v>209</v>
      </c>
      <c r="D59" s="33">
        <v>82</v>
      </c>
      <c r="E59" s="33">
        <v>208.3</v>
      </c>
      <c r="F59" s="34">
        <v>54</v>
      </c>
      <c r="G59" s="33">
        <v>54</v>
      </c>
      <c r="H59" s="35">
        <v>1</v>
      </c>
      <c r="I59" s="36">
        <v>1.7629999999999999</v>
      </c>
      <c r="J59" s="36">
        <v>95.2</v>
      </c>
      <c r="K59" s="37" t="s">
        <v>210</v>
      </c>
      <c r="L59" s="37" t="s">
        <v>211</v>
      </c>
      <c r="M59" s="38"/>
      <c r="N59" s="3"/>
      <c r="O59" s="33">
        <v>401034</v>
      </c>
    </row>
    <row r="60" spans="1:15" ht="17.45" customHeight="1" x14ac:dyDescent="0.25">
      <c r="A60" s="25" t="s">
        <v>212</v>
      </c>
      <c r="B60" s="26"/>
      <c r="C60" s="26"/>
      <c r="D60" s="26"/>
      <c r="E60" s="26"/>
      <c r="F60" s="27">
        <f>SUM(F61:F109)</f>
        <v>18454</v>
      </c>
      <c r="G60" s="28"/>
      <c r="H60" s="27">
        <f>SUM(H61:H109)</f>
        <v>332</v>
      </c>
      <c r="I60" s="29"/>
      <c r="J60" s="30"/>
      <c r="K60" s="30"/>
      <c r="L60" s="30"/>
      <c r="M60" s="30"/>
      <c r="N60" s="3"/>
      <c r="O60" s="30"/>
    </row>
    <row r="61" spans="1:15" ht="17.45" customHeight="1" x14ac:dyDescent="0.25">
      <c r="A61" s="31">
        <v>46</v>
      </c>
      <c r="B61" s="32" t="s">
        <v>213</v>
      </c>
      <c r="C61" s="31" t="s">
        <v>214</v>
      </c>
      <c r="D61" s="33">
        <v>32</v>
      </c>
      <c r="E61" s="33">
        <v>81.3</v>
      </c>
      <c r="F61" s="34">
        <v>227</v>
      </c>
      <c r="G61" s="33">
        <v>227</v>
      </c>
      <c r="H61" s="35">
        <v>1</v>
      </c>
      <c r="I61" s="36">
        <v>0.25280000000000002</v>
      </c>
      <c r="J61" s="36">
        <v>57.39</v>
      </c>
      <c r="K61" s="37" t="s">
        <v>215</v>
      </c>
      <c r="L61" s="37" t="s">
        <v>216</v>
      </c>
      <c r="M61" s="38"/>
      <c r="N61" s="3"/>
      <c r="O61" s="33">
        <v>401032</v>
      </c>
    </row>
    <row r="62" spans="1:15" ht="17.45" customHeight="1" x14ac:dyDescent="0.25">
      <c r="A62" s="31">
        <v>47</v>
      </c>
      <c r="B62" s="32" t="s">
        <v>217</v>
      </c>
      <c r="C62" s="31" t="s">
        <v>218</v>
      </c>
      <c r="D62" s="33">
        <v>35</v>
      </c>
      <c r="E62" s="33">
        <v>88.9</v>
      </c>
      <c r="F62" s="34">
        <v>230</v>
      </c>
      <c r="G62" s="33">
        <v>230</v>
      </c>
      <c r="H62" s="35">
        <v>1</v>
      </c>
      <c r="I62" s="36">
        <v>0.27650000000000002</v>
      </c>
      <c r="J62" s="36">
        <v>63.6</v>
      </c>
      <c r="K62" s="37" t="s">
        <v>219</v>
      </c>
      <c r="L62" s="37" t="s">
        <v>220</v>
      </c>
      <c r="M62" s="38"/>
      <c r="N62" s="3"/>
      <c r="O62" s="33">
        <v>401032</v>
      </c>
    </row>
    <row r="63" spans="1:15" ht="17.45" customHeight="1" x14ac:dyDescent="0.25">
      <c r="A63" s="31">
        <v>48</v>
      </c>
      <c r="B63" s="32" t="s">
        <v>221</v>
      </c>
      <c r="C63" s="31" t="s">
        <v>222</v>
      </c>
      <c r="D63" s="33">
        <v>37</v>
      </c>
      <c r="E63" s="33">
        <v>94</v>
      </c>
      <c r="F63" s="34">
        <v>230</v>
      </c>
      <c r="G63" s="33">
        <v>230</v>
      </c>
      <c r="H63" s="35">
        <v>1</v>
      </c>
      <c r="I63" s="36">
        <v>0.2923</v>
      </c>
      <c r="J63" s="36">
        <v>67.23</v>
      </c>
      <c r="K63" s="37" t="s">
        <v>223</v>
      </c>
      <c r="L63" s="37" t="s">
        <v>224</v>
      </c>
      <c r="M63" s="38"/>
      <c r="N63" s="3"/>
      <c r="O63" s="33">
        <v>401032</v>
      </c>
    </row>
    <row r="64" spans="1:15" ht="17.45" customHeight="1" x14ac:dyDescent="0.25">
      <c r="A64" s="31">
        <v>49</v>
      </c>
      <c r="B64" s="32" t="s">
        <v>225</v>
      </c>
      <c r="C64" s="31" t="s">
        <v>226</v>
      </c>
      <c r="D64" s="33">
        <v>38</v>
      </c>
      <c r="E64" s="33">
        <v>96.5</v>
      </c>
      <c r="F64" s="34">
        <v>402</v>
      </c>
      <c r="G64" s="33">
        <v>200</v>
      </c>
      <c r="H64" s="35">
        <v>2</v>
      </c>
      <c r="I64" s="36">
        <v>0.30020000000000002</v>
      </c>
      <c r="J64" s="36">
        <v>120.68</v>
      </c>
      <c r="K64" s="37" t="s">
        <v>227</v>
      </c>
      <c r="L64" s="37" t="s">
        <v>228</v>
      </c>
      <c r="M64" s="38"/>
      <c r="N64" s="3"/>
      <c r="O64" s="33">
        <v>401032</v>
      </c>
    </row>
    <row r="65" spans="1:15" ht="17.45" customHeight="1" x14ac:dyDescent="0.25">
      <c r="A65" s="31">
        <v>50</v>
      </c>
      <c r="B65" s="32" t="s">
        <v>229</v>
      </c>
      <c r="C65" s="31" t="s">
        <v>230</v>
      </c>
      <c r="D65" s="33">
        <v>39</v>
      </c>
      <c r="E65" s="33">
        <v>99.1</v>
      </c>
      <c r="F65" s="34">
        <v>229</v>
      </c>
      <c r="G65" s="33">
        <v>229</v>
      </c>
      <c r="H65" s="35">
        <v>1</v>
      </c>
      <c r="I65" s="36">
        <v>0.30809999999999998</v>
      </c>
      <c r="J65" s="36">
        <v>70.55</v>
      </c>
      <c r="K65" s="37" t="s">
        <v>231</v>
      </c>
      <c r="L65" s="37" t="s">
        <v>232</v>
      </c>
      <c r="M65" s="38"/>
      <c r="N65" s="3"/>
      <c r="O65" s="33">
        <v>401032</v>
      </c>
    </row>
    <row r="66" spans="1:15" ht="17.45" customHeight="1" x14ac:dyDescent="0.25">
      <c r="A66" s="31">
        <v>51</v>
      </c>
      <c r="B66" s="32" t="s">
        <v>233</v>
      </c>
      <c r="C66" s="31" t="s">
        <v>234</v>
      </c>
      <c r="D66" s="33">
        <v>40</v>
      </c>
      <c r="E66" s="33">
        <v>101.6</v>
      </c>
      <c r="F66" s="34">
        <v>230</v>
      </c>
      <c r="G66" s="33">
        <v>230</v>
      </c>
      <c r="H66" s="35">
        <v>1</v>
      </c>
      <c r="I66" s="36">
        <v>0.316</v>
      </c>
      <c r="J66" s="36">
        <v>72.680000000000007</v>
      </c>
      <c r="K66" s="37" t="s">
        <v>235</v>
      </c>
      <c r="L66" s="37" t="s">
        <v>236</v>
      </c>
      <c r="M66" s="38"/>
      <c r="N66" s="3"/>
      <c r="O66" s="33">
        <v>401032</v>
      </c>
    </row>
    <row r="67" spans="1:15" ht="17.45" customHeight="1" x14ac:dyDescent="0.25">
      <c r="A67" s="31">
        <v>52</v>
      </c>
      <c r="B67" s="32" t="s">
        <v>237</v>
      </c>
      <c r="C67" s="31" t="s">
        <v>238</v>
      </c>
      <c r="D67" s="33">
        <v>42</v>
      </c>
      <c r="E67" s="33">
        <v>106.7</v>
      </c>
      <c r="F67" s="34">
        <v>224</v>
      </c>
      <c r="G67" s="33">
        <v>224</v>
      </c>
      <c r="H67" s="35">
        <v>1</v>
      </c>
      <c r="I67" s="36">
        <v>0.33179999999999998</v>
      </c>
      <c r="J67" s="36">
        <v>74.319999999999993</v>
      </c>
      <c r="K67" s="37" t="s">
        <v>239</v>
      </c>
      <c r="L67" s="37" t="s">
        <v>240</v>
      </c>
      <c r="M67" s="38"/>
      <c r="N67" s="3"/>
      <c r="O67" s="33">
        <v>401032</v>
      </c>
    </row>
    <row r="68" spans="1:15" ht="17.45" customHeight="1" x14ac:dyDescent="0.25">
      <c r="A68" s="31">
        <v>53</v>
      </c>
      <c r="B68" s="32" t="s">
        <v>241</v>
      </c>
      <c r="C68" s="31" t="s">
        <v>242</v>
      </c>
      <c r="D68" s="33">
        <v>34</v>
      </c>
      <c r="E68" s="33">
        <v>86.4</v>
      </c>
      <c r="F68" s="34">
        <v>418</v>
      </c>
      <c r="G68" s="33">
        <v>200</v>
      </c>
      <c r="H68" s="35">
        <v>3</v>
      </c>
      <c r="I68" s="36">
        <v>0.38419999999999999</v>
      </c>
      <c r="J68" s="36">
        <v>160.6</v>
      </c>
      <c r="K68" s="37" t="s">
        <v>243</v>
      </c>
      <c r="L68" s="37" t="s">
        <v>244</v>
      </c>
      <c r="M68" s="38"/>
      <c r="N68" s="3"/>
      <c r="O68" s="33">
        <v>401032</v>
      </c>
    </row>
    <row r="69" spans="1:15" ht="17.45" customHeight="1" x14ac:dyDescent="0.25">
      <c r="A69" s="31">
        <v>54</v>
      </c>
      <c r="B69" s="32" t="s">
        <v>245</v>
      </c>
      <c r="C69" s="31" t="s">
        <v>246</v>
      </c>
      <c r="D69" s="33">
        <v>35</v>
      </c>
      <c r="E69" s="33">
        <v>88.9</v>
      </c>
      <c r="F69" s="34">
        <v>384</v>
      </c>
      <c r="G69" s="33">
        <v>200</v>
      </c>
      <c r="H69" s="35">
        <v>2</v>
      </c>
      <c r="I69" s="36">
        <v>0.39550000000000002</v>
      </c>
      <c r="J69" s="36">
        <v>151.87</v>
      </c>
      <c r="K69" s="37" t="s">
        <v>247</v>
      </c>
      <c r="L69" s="37" t="s">
        <v>248</v>
      </c>
      <c r="M69" s="38"/>
      <c r="N69" s="3"/>
      <c r="O69" s="33">
        <v>401032</v>
      </c>
    </row>
    <row r="70" spans="1:15" ht="17.45" customHeight="1" x14ac:dyDescent="0.25">
      <c r="A70" s="31">
        <v>55</v>
      </c>
      <c r="B70" s="32" t="s">
        <v>249</v>
      </c>
      <c r="C70" s="31" t="s">
        <v>250</v>
      </c>
      <c r="D70" s="33">
        <v>36</v>
      </c>
      <c r="E70" s="33">
        <v>91.4</v>
      </c>
      <c r="F70" s="34">
        <v>1273</v>
      </c>
      <c r="G70" s="33">
        <v>160</v>
      </c>
      <c r="H70" s="35">
        <v>8</v>
      </c>
      <c r="I70" s="36">
        <v>0.40679999999999999</v>
      </c>
      <c r="J70" s="36">
        <v>517.86</v>
      </c>
      <c r="K70" s="37" t="s">
        <v>251</v>
      </c>
      <c r="L70" s="37" t="s">
        <v>252</v>
      </c>
      <c r="M70" s="38"/>
      <c r="N70" s="3"/>
      <c r="O70" s="33">
        <v>401032</v>
      </c>
    </row>
    <row r="71" spans="1:15" ht="17.45" customHeight="1" x14ac:dyDescent="0.25">
      <c r="A71" s="31">
        <v>56</v>
      </c>
      <c r="B71" s="32" t="s">
        <v>253</v>
      </c>
      <c r="C71" s="31" t="s">
        <v>254</v>
      </c>
      <c r="D71" s="33">
        <v>37</v>
      </c>
      <c r="E71" s="33">
        <v>94</v>
      </c>
      <c r="F71" s="34">
        <v>996</v>
      </c>
      <c r="G71" s="33">
        <v>160</v>
      </c>
      <c r="H71" s="35">
        <v>7</v>
      </c>
      <c r="I71" s="36">
        <v>0.41810000000000003</v>
      </c>
      <c r="J71" s="36">
        <v>416.43</v>
      </c>
      <c r="K71" s="37" t="s">
        <v>255</v>
      </c>
      <c r="L71" s="37" t="s">
        <v>256</v>
      </c>
      <c r="M71" s="38"/>
      <c r="N71" s="3"/>
      <c r="O71" s="33">
        <v>401032</v>
      </c>
    </row>
    <row r="72" spans="1:15" ht="17.45" customHeight="1" x14ac:dyDescent="0.25">
      <c r="A72" s="31">
        <v>57</v>
      </c>
      <c r="B72" s="32" t="s">
        <v>257</v>
      </c>
      <c r="C72" s="31" t="s">
        <v>258</v>
      </c>
      <c r="D72" s="33">
        <v>38</v>
      </c>
      <c r="E72" s="33">
        <v>96.5</v>
      </c>
      <c r="F72" s="34">
        <v>804</v>
      </c>
      <c r="G72" s="33">
        <v>160</v>
      </c>
      <c r="H72" s="35">
        <v>5</v>
      </c>
      <c r="I72" s="36">
        <v>0.4294</v>
      </c>
      <c r="J72" s="36">
        <v>345.24</v>
      </c>
      <c r="K72" s="37" t="s">
        <v>259</v>
      </c>
      <c r="L72" s="37" t="s">
        <v>260</v>
      </c>
      <c r="M72" s="38"/>
      <c r="N72" s="3"/>
      <c r="O72" s="33">
        <v>401032</v>
      </c>
    </row>
    <row r="73" spans="1:15" ht="17.45" customHeight="1" x14ac:dyDescent="0.25">
      <c r="A73" s="31">
        <v>58</v>
      </c>
      <c r="B73" s="32" t="s">
        <v>261</v>
      </c>
      <c r="C73" s="31" t="s">
        <v>262</v>
      </c>
      <c r="D73" s="33">
        <v>39</v>
      </c>
      <c r="E73" s="33">
        <v>99.1</v>
      </c>
      <c r="F73" s="34">
        <v>993</v>
      </c>
      <c r="G73" s="33">
        <v>160</v>
      </c>
      <c r="H73" s="35">
        <v>7</v>
      </c>
      <c r="I73" s="36">
        <v>0.44069999999999998</v>
      </c>
      <c r="J73" s="36">
        <v>437.62</v>
      </c>
      <c r="K73" s="37" t="s">
        <v>263</v>
      </c>
      <c r="L73" s="37" t="s">
        <v>264</v>
      </c>
      <c r="M73" s="38"/>
      <c r="N73" s="3"/>
      <c r="O73" s="33">
        <v>401032</v>
      </c>
    </row>
    <row r="74" spans="1:15" ht="17.45" customHeight="1" x14ac:dyDescent="0.25">
      <c r="A74" s="31">
        <v>59</v>
      </c>
      <c r="B74" s="32" t="s">
        <v>265</v>
      </c>
      <c r="C74" s="31" t="s">
        <v>266</v>
      </c>
      <c r="D74" s="33">
        <v>40</v>
      </c>
      <c r="E74" s="33">
        <v>101.6</v>
      </c>
      <c r="F74" s="34">
        <v>1052</v>
      </c>
      <c r="G74" s="33">
        <v>150</v>
      </c>
      <c r="H74" s="35">
        <v>7</v>
      </c>
      <c r="I74" s="36">
        <v>0.45200000000000001</v>
      </c>
      <c r="J74" s="36">
        <v>475.5</v>
      </c>
      <c r="K74" s="37" t="s">
        <v>267</v>
      </c>
      <c r="L74" s="37" t="s">
        <v>268</v>
      </c>
      <c r="M74" s="38"/>
      <c r="N74" s="3"/>
      <c r="O74" s="33">
        <v>401032</v>
      </c>
    </row>
    <row r="75" spans="1:15" ht="17.45" customHeight="1" x14ac:dyDescent="0.25">
      <c r="A75" s="31">
        <v>60</v>
      </c>
      <c r="B75" s="32" t="s">
        <v>269</v>
      </c>
      <c r="C75" s="31" t="s">
        <v>270</v>
      </c>
      <c r="D75" s="33">
        <v>41</v>
      </c>
      <c r="E75" s="33">
        <v>104.1</v>
      </c>
      <c r="F75" s="34">
        <v>176</v>
      </c>
      <c r="G75" s="33">
        <v>150</v>
      </c>
      <c r="H75" s="35">
        <v>2</v>
      </c>
      <c r="I75" s="36">
        <v>0.46329999999999999</v>
      </c>
      <c r="J75" s="36">
        <v>81.540000000000006</v>
      </c>
      <c r="K75" s="37" t="s">
        <v>271</v>
      </c>
      <c r="L75" s="37" t="s">
        <v>272</v>
      </c>
      <c r="M75" s="38"/>
      <c r="N75" s="3"/>
      <c r="O75" s="33">
        <v>401032</v>
      </c>
    </row>
    <row r="76" spans="1:15" ht="17.45" customHeight="1" x14ac:dyDescent="0.25">
      <c r="A76" s="31">
        <v>61</v>
      </c>
      <c r="B76" s="32" t="s">
        <v>273</v>
      </c>
      <c r="C76" s="31" t="s">
        <v>274</v>
      </c>
      <c r="D76" s="33">
        <v>42</v>
      </c>
      <c r="E76" s="33">
        <v>106.7</v>
      </c>
      <c r="F76" s="34">
        <v>459</v>
      </c>
      <c r="G76" s="33">
        <v>150</v>
      </c>
      <c r="H76" s="35">
        <v>4</v>
      </c>
      <c r="I76" s="36">
        <v>0.47460000000000002</v>
      </c>
      <c r="J76" s="36">
        <v>217.84</v>
      </c>
      <c r="K76" s="37" t="s">
        <v>275</v>
      </c>
      <c r="L76" s="37" t="s">
        <v>276</v>
      </c>
      <c r="M76" s="38"/>
      <c r="N76" s="3"/>
      <c r="O76" s="33">
        <v>401032</v>
      </c>
    </row>
    <row r="77" spans="1:15" ht="17.45" customHeight="1" x14ac:dyDescent="0.25">
      <c r="A77" s="31">
        <v>62</v>
      </c>
      <c r="B77" s="32" t="s">
        <v>277</v>
      </c>
      <c r="C77" s="31" t="s">
        <v>278</v>
      </c>
      <c r="D77" s="33">
        <v>43</v>
      </c>
      <c r="E77" s="33">
        <v>109.2</v>
      </c>
      <c r="F77" s="34">
        <v>321</v>
      </c>
      <c r="G77" s="33">
        <v>150</v>
      </c>
      <c r="H77" s="35">
        <v>3</v>
      </c>
      <c r="I77" s="36">
        <v>0.4859</v>
      </c>
      <c r="J77" s="36">
        <v>155.97</v>
      </c>
      <c r="K77" s="37" t="s">
        <v>279</v>
      </c>
      <c r="L77" s="37" t="s">
        <v>280</v>
      </c>
      <c r="M77" s="38"/>
      <c r="N77" s="3"/>
      <c r="O77" s="33">
        <v>401032</v>
      </c>
    </row>
    <row r="78" spans="1:15" ht="17.45" customHeight="1" x14ac:dyDescent="0.25">
      <c r="A78" s="31">
        <v>63</v>
      </c>
      <c r="B78" s="32" t="s">
        <v>281</v>
      </c>
      <c r="C78" s="31" t="s">
        <v>282</v>
      </c>
      <c r="D78" s="33">
        <v>44</v>
      </c>
      <c r="E78" s="33">
        <v>111.8</v>
      </c>
      <c r="F78" s="34">
        <v>318</v>
      </c>
      <c r="G78" s="33">
        <v>150</v>
      </c>
      <c r="H78" s="35">
        <v>3</v>
      </c>
      <c r="I78" s="36">
        <v>0.49719999999999998</v>
      </c>
      <c r="J78" s="36">
        <v>158.11000000000001</v>
      </c>
      <c r="K78" s="37" t="s">
        <v>283</v>
      </c>
      <c r="L78" s="37" t="s">
        <v>284</v>
      </c>
      <c r="M78" s="38"/>
      <c r="N78" s="3"/>
      <c r="O78" s="33">
        <v>401032</v>
      </c>
    </row>
    <row r="79" spans="1:15" ht="17.45" customHeight="1" x14ac:dyDescent="0.25">
      <c r="A79" s="31">
        <v>64</v>
      </c>
      <c r="B79" s="32" t="s">
        <v>285</v>
      </c>
      <c r="C79" s="31" t="s">
        <v>286</v>
      </c>
      <c r="D79" s="33">
        <v>45</v>
      </c>
      <c r="E79" s="33">
        <v>114.3</v>
      </c>
      <c r="F79" s="34">
        <v>762</v>
      </c>
      <c r="G79" s="33">
        <v>150</v>
      </c>
      <c r="H79" s="35">
        <v>6</v>
      </c>
      <c r="I79" s="36">
        <v>0.50849999999999995</v>
      </c>
      <c r="J79" s="36">
        <v>387.48</v>
      </c>
      <c r="K79" s="37" t="s">
        <v>287</v>
      </c>
      <c r="L79" s="37" t="s">
        <v>288</v>
      </c>
      <c r="M79" s="38"/>
      <c r="N79" s="3"/>
      <c r="O79" s="33">
        <v>401032</v>
      </c>
    </row>
    <row r="80" spans="1:15" ht="17.45" customHeight="1" x14ac:dyDescent="0.25">
      <c r="A80" s="31">
        <v>65</v>
      </c>
      <c r="B80" s="32" t="s">
        <v>289</v>
      </c>
      <c r="C80" s="31" t="s">
        <v>290</v>
      </c>
      <c r="D80" s="33">
        <v>46</v>
      </c>
      <c r="E80" s="33">
        <v>116.8</v>
      </c>
      <c r="F80" s="34">
        <v>296</v>
      </c>
      <c r="G80" s="33">
        <v>130</v>
      </c>
      <c r="H80" s="35">
        <v>3</v>
      </c>
      <c r="I80" s="36">
        <v>0.51980000000000004</v>
      </c>
      <c r="J80" s="36">
        <v>153.86000000000001</v>
      </c>
      <c r="K80" s="37" t="s">
        <v>291</v>
      </c>
      <c r="L80" s="37" t="s">
        <v>292</v>
      </c>
      <c r="M80" s="38"/>
      <c r="N80" s="3"/>
      <c r="O80" s="33">
        <v>401032</v>
      </c>
    </row>
    <row r="81" spans="1:15" ht="17.45" customHeight="1" x14ac:dyDescent="0.25">
      <c r="A81" s="31">
        <v>66</v>
      </c>
      <c r="B81" s="32" t="s">
        <v>293</v>
      </c>
      <c r="C81" s="31" t="s">
        <v>294</v>
      </c>
      <c r="D81" s="33">
        <v>48</v>
      </c>
      <c r="E81" s="33">
        <v>121.9</v>
      </c>
      <c r="F81" s="34">
        <v>179</v>
      </c>
      <c r="G81" s="33">
        <v>130</v>
      </c>
      <c r="H81" s="35">
        <v>2</v>
      </c>
      <c r="I81" s="36">
        <v>0.54239999999999999</v>
      </c>
      <c r="J81" s="36">
        <v>97.09</v>
      </c>
      <c r="K81" s="37" t="s">
        <v>295</v>
      </c>
      <c r="L81" s="37" t="s">
        <v>296</v>
      </c>
      <c r="M81" s="38"/>
      <c r="N81" s="3"/>
      <c r="O81" s="33">
        <v>401032</v>
      </c>
    </row>
    <row r="82" spans="1:15" ht="17.45" customHeight="1" x14ac:dyDescent="0.25">
      <c r="A82" s="31">
        <v>67</v>
      </c>
      <c r="B82" s="32" t="s">
        <v>297</v>
      </c>
      <c r="C82" s="31" t="s">
        <v>298</v>
      </c>
      <c r="D82" s="33">
        <v>49</v>
      </c>
      <c r="E82" s="33">
        <v>124.5</v>
      </c>
      <c r="F82" s="34">
        <v>177</v>
      </c>
      <c r="G82" s="33">
        <v>130</v>
      </c>
      <c r="H82" s="35">
        <v>2</v>
      </c>
      <c r="I82" s="36">
        <v>0.55369999999999997</v>
      </c>
      <c r="J82" s="36">
        <v>98</v>
      </c>
      <c r="K82" s="37" t="s">
        <v>299</v>
      </c>
      <c r="L82" s="37" t="s">
        <v>300</v>
      </c>
      <c r="M82" s="38"/>
      <c r="N82" s="3"/>
      <c r="O82" s="33">
        <v>401032</v>
      </c>
    </row>
    <row r="83" spans="1:15" ht="17.45" customHeight="1" x14ac:dyDescent="0.25">
      <c r="A83" s="31">
        <v>68</v>
      </c>
      <c r="B83" s="32" t="s">
        <v>301</v>
      </c>
      <c r="C83" s="31" t="s">
        <v>302</v>
      </c>
      <c r="D83" s="33">
        <v>52</v>
      </c>
      <c r="E83" s="33">
        <v>132.1</v>
      </c>
      <c r="F83" s="34">
        <v>285</v>
      </c>
      <c r="G83" s="33">
        <v>130</v>
      </c>
      <c r="H83" s="35">
        <v>3</v>
      </c>
      <c r="I83" s="36">
        <v>0.58760000000000001</v>
      </c>
      <c r="J83" s="36">
        <v>167.47</v>
      </c>
      <c r="K83" s="37" t="s">
        <v>303</v>
      </c>
      <c r="L83" s="37" t="s">
        <v>304</v>
      </c>
      <c r="M83" s="38"/>
      <c r="N83" s="3"/>
      <c r="O83" s="33">
        <v>401032</v>
      </c>
    </row>
    <row r="84" spans="1:15" ht="17.45" customHeight="1" x14ac:dyDescent="0.25">
      <c r="A84" s="31">
        <v>69</v>
      </c>
      <c r="B84" s="32" t="s">
        <v>305</v>
      </c>
      <c r="C84" s="31" t="s">
        <v>306</v>
      </c>
      <c r="D84" s="33">
        <v>53</v>
      </c>
      <c r="E84" s="33">
        <v>134.6</v>
      </c>
      <c r="F84" s="34">
        <v>282</v>
      </c>
      <c r="G84" s="33">
        <v>130</v>
      </c>
      <c r="H84" s="35">
        <v>3</v>
      </c>
      <c r="I84" s="36">
        <v>0.59889999999999999</v>
      </c>
      <c r="J84" s="36">
        <v>168.89</v>
      </c>
      <c r="K84" s="37" t="s">
        <v>307</v>
      </c>
      <c r="L84" s="37" t="s">
        <v>308</v>
      </c>
      <c r="M84" s="38"/>
      <c r="N84" s="3"/>
      <c r="O84" s="33">
        <v>401032</v>
      </c>
    </row>
    <row r="85" spans="1:15" ht="17.45" customHeight="1" x14ac:dyDescent="0.25">
      <c r="A85" s="31">
        <v>70</v>
      </c>
      <c r="B85" s="32" t="s">
        <v>309</v>
      </c>
      <c r="C85" s="31" t="s">
        <v>310</v>
      </c>
      <c r="D85" s="33">
        <v>56</v>
      </c>
      <c r="E85" s="33">
        <v>142.19999999999999</v>
      </c>
      <c r="F85" s="34">
        <v>143</v>
      </c>
      <c r="G85" s="33">
        <v>130</v>
      </c>
      <c r="H85" s="35">
        <v>2</v>
      </c>
      <c r="I85" s="36">
        <v>0.63280000000000003</v>
      </c>
      <c r="J85" s="36">
        <v>90.49</v>
      </c>
      <c r="K85" s="37" t="s">
        <v>311</v>
      </c>
      <c r="L85" s="37" t="s">
        <v>312</v>
      </c>
      <c r="M85" s="38"/>
      <c r="N85" s="3"/>
      <c r="O85" s="33">
        <v>401032</v>
      </c>
    </row>
    <row r="86" spans="1:15" ht="17.45" customHeight="1" x14ac:dyDescent="0.25">
      <c r="A86" s="31">
        <v>71</v>
      </c>
      <c r="B86" s="32" t="s">
        <v>313</v>
      </c>
      <c r="C86" s="31" t="s">
        <v>56</v>
      </c>
      <c r="D86" s="33">
        <v>38</v>
      </c>
      <c r="E86" s="33">
        <v>96.5</v>
      </c>
      <c r="F86" s="34">
        <v>324</v>
      </c>
      <c r="G86" s="33">
        <v>100</v>
      </c>
      <c r="H86" s="35">
        <v>12</v>
      </c>
      <c r="I86" s="36">
        <v>0.58520000000000005</v>
      </c>
      <c r="J86" s="36">
        <v>189.6</v>
      </c>
      <c r="K86" s="37" t="s">
        <v>314</v>
      </c>
      <c r="L86" s="37" t="s">
        <v>315</v>
      </c>
      <c r="M86" s="38"/>
      <c r="N86" s="3"/>
      <c r="O86" s="33">
        <v>401032</v>
      </c>
    </row>
    <row r="87" spans="1:15" ht="17.45" customHeight="1" x14ac:dyDescent="0.25">
      <c r="A87" s="31">
        <v>72</v>
      </c>
      <c r="B87" s="32" t="s">
        <v>316</v>
      </c>
      <c r="C87" s="31" t="s">
        <v>68</v>
      </c>
      <c r="D87" s="33">
        <v>41</v>
      </c>
      <c r="E87" s="33">
        <v>104.1</v>
      </c>
      <c r="F87" s="34">
        <v>429</v>
      </c>
      <c r="G87" s="33">
        <v>80</v>
      </c>
      <c r="H87" s="35">
        <v>15</v>
      </c>
      <c r="I87" s="36">
        <v>0.63139999999999996</v>
      </c>
      <c r="J87" s="36">
        <v>270.87</v>
      </c>
      <c r="K87" s="37" t="s">
        <v>317</v>
      </c>
      <c r="L87" s="37" t="s">
        <v>318</v>
      </c>
      <c r="M87" s="38"/>
      <c r="N87" s="3"/>
      <c r="O87" s="33">
        <v>401032</v>
      </c>
    </row>
    <row r="88" spans="1:15" ht="17.45" customHeight="1" x14ac:dyDescent="0.25">
      <c r="A88" s="31">
        <v>73</v>
      </c>
      <c r="B88" s="32" t="s">
        <v>319</v>
      </c>
      <c r="C88" s="31" t="s">
        <v>72</v>
      </c>
      <c r="D88" s="33">
        <v>42</v>
      </c>
      <c r="E88" s="33">
        <v>106.7</v>
      </c>
      <c r="F88" s="34">
        <v>664</v>
      </c>
      <c r="G88" s="33">
        <v>80</v>
      </c>
      <c r="H88" s="35">
        <v>15</v>
      </c>
      <c r="I88" s="36">
        <v>0.64680000000000004</v>
      </c>
      <c r="J88" s="36">
        <v>429.48</v>
      </c>
      <c r="K88" s="37" t="s">
        <v>320</v>
      </c>
      <c r="L88" s="37" t="s">
        <v>321</v>
      </c>
      <c r="M88" s="38"/>
      <c r="N88" s="3"/>
      <c r="O88" s="33">
        <v>401032</v>
      </c>
    </row>
    <row r="89" spans="1:15" ht="17.45" customHeight="1" x14ac:dyDescent="0.25">
      <c r="A89" s="31">
        <v>74</v>
      </c>
      <c r="B89" s="32" t="s">
        <v>322</v>
      </c>
      <c r="C89" s="31" t="s">
        <v>76</v>
      </c>
      <c r="D89" s="33">
        <v>43</v>
      </c>
      <c r="E89" s="33">
        <v>109.2</v>
      </c>
      <c r="F89" s="34">
        <v>425</v>
      </c>
      <c r="G89" s="33">
        <v>80</v>
      </c>
      <c r="H89" s="35">
        <v>10</v>
      </c>
      <c r="I89" s="36">
        <v>0.66220000000000001</v>
      </c>
      <c r="J89" s="36">
        <v>281.44</v>
      </c>
      <c r="K89" s="37" t="s">
        <v>323</v>
      </c>
      <c r="L89" s="37" t="s">
        <v>324</v>
      </c>
      <c r="M89" s="38"/>
      <c r="N89" s="3"/>
      <c r="O89" s="33">
        <v>401032</v>
      </c>
    </row>
    <row r="90" spans="1:15" ht="17.45" customHeight="1" x14ac:dyDescent="0.25">
      <c r="A90" s="31">
        <v>75</v>
      </c>
      <c r="B90" s="32" t="s">
        <v>325</v>
      </c>
      <c r="C90" s="31" t="s">
        <v>80</v>
      </c>
      <c r="D90" s="33">
        <v>44</v>
      </c>
      <c r="E90" s="33">
        <v>111.8</v>
      </c>
      <c r="F90" s="34">
        <v>251</v>
      </c>
      <c r="G90" s="33">
        <v>80</v>
      </c>
      <c r="H90" s="35">
        <v>12</v>
      </c>
      <c r="I90" s="36">
        <v>0.67759999999999998</v>
      </c>
      <c r="J90" s="36">
        <v>170.08</v>
      </c>
      <c r="K90" s="37" t="s">
        <v>326</v>
      </c>
      <c r="L90" s="37" t="s">
        <v>327</v>
      </c>
      <c r="M90" s="38"/>
      <c r="N90" s="3"/>
      <c r="O90" s="33">
        <v>401032</v>
      </c>
    </row>
    <row r="91" spans="1:15" ht="17.45" customHeight="1" x14ac:dyDescent="0.25">
      <c r="A91" s="31">
        <v>76</v>
      </c>
      <c r="B91" s="32" t="s">
        <v>328</v>
      </c>
      <c r="C91" s="31" t="s">
        <v>84</v>
      </c>
      <c r="D91" s="33">
        <v>45</v>
      </c>
      <c r="E91" s="33">
        <v>114.3</v>
      </c>
      <c r="F91" s="34">
        <v>454</v>
      </c>
      <c r="G91" s="33">
        <v>80</v>
      </c>
      <c r="H91" s="35">
        <v>20</v>
      </c>
      <c r="I91" s="36">
        <v>0.69299999999999995</v>
      </c>
      <c r="J91" s="36">
        <v>314.62</v>
      </c>
      <c r="K91" s="37" t="s">
        <v>329</v>
      </c>
      <c r="L91" s="37" t="s">
        <v>330</v>
      </c>
      <c r="M91" s="38"/>
      <c r="N91" s="3"/>
      <c r="O91" s="33">
        <v>401032</v>
      </c>
    </row>
    <row r="92" spans="1:15" ht="17.45" customHeight="1" x14ac:dyDescent="0.25">
      <c r="A92" s="31">
        <v>77</v>
      </c>
      <c r="B92" s="32" t="s">
        <v>331</v>
      </c>
      <c r="C92" s="31" t="s">
        <v>88</v>
      </c>
      <c r="D92" s="33">
        <v>46</v>
      </c>
      <c r="E92" s="33">
        <v>116.8</v>
      </c>
      <c r="F92" s="34">
        <v>431</v>
      </c>
      <c r="G92" s="33">
        <v>80</v>
      </c>
      <c r="H92" s="35">
        <v>14</v>
      </c>
      <c r="I92" s="36">
        <v>0.70840000000000003</v>
      </c>
      <c r="J92" s="36">
        <v>305.32</v>
      </c>
      <c r="K92" s="37" t="s">
        <v>332</v>
      </c>
      <c r="L92" s="37" t="s">
        <v>333</v>
      </c>
      <c r="M92" s="38"/>
      <c r="N92" s="3"/>
      <c r="O92" s="33">
        <v>401032</v>
      </c>
    </row>
    <row r="93" spans="1:15" ht="17.45" customHeight="1" x14ac:dyDescent="0.25">
      <c r="A93" s="31">
        <v>78</v>
      </c>
      <c r="B93" s="32" t="s">
        <v>334</v>
      </c>
      <c r="C93" s="31" t="s">
        <v>92</v>
      </c>
      <c r="D93" s="33">
        <v>47</v>
      </c>
      <c r="E93" s="33">
        <v>119.4</v>
      </c>
      <c r="F93" s="34">
        <v>958</v>
      </c>
      <c r="G93" s="33">
        <v>80</v>
      </c>
      <c r="H93" s="35">
        <v>14</v>
      </c>
      <c r="I93" s="36">
        <v>0.7238</v>
      </c>
      <c r="J93" s="36">
        <v>693.4</v>
      </c>
      <c r="K93" s="37" t="s">
        <v>335</v>
      </c>
      <c r="L93" s="37" t="s">
        <v>336</v>
      </c>
      <c r="M93" s="38"/>
      <c r="N93" s="3"/>
      <c r="O93" s="33">
        <v>401032</v>
      </c>
    </row>
    <row r="94" spans="1:15" ht="17.45" customHeight="1" x14ac:dyDescent="0.25">
      <c r="A94" s="31">
        <v>79</v>
      </c>
      <c r="B94" s="32" t="s">
        <v>337</v>
      </c>
      <c r="C94" s="31" t="s">
        <v>100</v>
      </c>
      <c r="D94" s="33">
        <v>49</v>
      </c>
      <c r="E94" s="33">
        <v>124.5</v>
      </c>
      <c r="F94" s="34">
        <v>264</v>
      </c>
      <c r="G94" s="33">
        <v>80</v>
      </c>
      <c r="H94" s="35">
        <v>12</v>
      </c>
      <c r="I94" s="36">
        <v>0.75460000000000005</v>
      </c>
      <c r="J94" s="36">
        <v>199.21</v>
      </c>
      <c r="K94" s="37" t="s">
        <v>338</v>
      </c>
      <c r="L94" s="37" t="s">
        <v>339</v>
      </c>
      <c r="M94" s="38"/>
      <c r="N94" s="3"/>
      <c r="O94" s="33">
        <v>401032</v>
      </c>
    </row>
    <row r="95" spans="1:15" ht="17.45" customHeight="1" x14ac:dyDescent="0.25">
      <c r="A95" s="31">
        <v>80</v>
      </c>
      <c r="B95" s="32" t="s">
        <v>340</v>
      </c>
      <c r="C95" s="31" t="s">
        <v>104</v>
      </c>
      <c r="D95" s="33">
        <v>50</v>
      </c>
      <c r="E95" s="33">
        <v>127</v>
      </c>
      <c r="F95" s="34">
        <v>267</v>
      </c>
      <c r="G95" s="33">
        <v>80</v>
      </c>
      <c r="H95" s="35">
        <v>17</v>
      </c>
      <c r="I95" s="36">
        <v>0.77</v>
      </c>
      <c r="J95" s="36">
        <v>205.59</v>
      </c>
      <c r="K95" s="37" t="s">
        <v>341</v>
      </c>
      <c r="L95" s="37" t="s">
        <v>342</v>
      </c>
      <c r="M95" s="38"/>
      <c r="N95" s="3"/>
      <c r="O95" s="33">
        <v>401032</v>
      </c>
    </row>
    <row r="96" spans="1:15" ht="17.45" customHeight="1" x14ac:dyDescent="0.25">
      <c r="A96" s="31">
        <v>81</v>
      </c>
      <c r="B96" s="32" t="s">
        <v>343</v>
      </c>
      <c r="C96" s="31" t="s">
        <v>108</v>
      </c>
      <c r="D96" s="33">
        <v>51</v>
      </c>
      <c r="E96" s="33">
        <v>129.5</v>
      </c>
      <c r="F96" s="34">
        <v>265</v>
      </c>
      <c r="G96" s="33">
        <v>80</v>
      </c>
      <c r="H96" s="35">
        <v>12</v>
      </c>
      <c r="I96" s="36">
        <v>0.78539999999999999</v>
      </c>
      <c r="J96" s="36">
        <v>208.13</v>
      </c>
      <c r="K96" s="37" t="s">
        <v>344</v>
      </c>
      <c r="L96" s="37" t="s">
        <v>345</v>
      </c>
      <c r="M96" s="38"/>
      <c r="N96" s="3"/>
      <c r="O96" s="33">
        <v>401032</v>
      </c>
    </row>
    <row r="97" spans="1:15" ht="17.45" customHeight="1" x14ac:dyDescent="0.25">
      <c r="A97" s="31">
        <v>82</v>
      </c>
      <c r="B97" s="32" t="s">
        <v>346</v>
      </c>
      <c r="C97" s="31" t="s">
        <v>112</v>
      </c>
      <c r="D97" s="33">
        <v>52</v>
      </c>
      <c r="E97" s="33">
        <v>132.1</v>
      </c>
      <c r="F97" s="34">
        <v>153</v>
      </c>
      <c r="G97" s="33">
        <v>80</v>
      </c>
      <c r="H97" s="35">
        <v>10</v>
      </c>
      <c r="I97" s="36">
        <v>0.80079999999999996</v>
      </c>
      <c r="J97" s="36">
        <v>122.52</v>
      </c>
      <c r="K97" s="37" t="s">
        <v>347</v>
      </c>
      <c r="L97" s="37" t="s">
        <v>348</v>
      </c>
      <c r="M97" s="38"/>
      <c r="N97" s="3"/>
      <c r="O97" s="33">
        <v>401032</v>
      </c>
    </row>
    <row r="98" spans="1:15" ht="17.45" customHeight="1" x14ac:dyDescent="0.25">
      <c r="A98" s="31">
        <v>83</v>
      </c>
      <c r="B98" s="32" t="s">
        <v>349</v>
      </c>
      <c r="C98" s="31" t="s">
        <v>120</v>
      </c>
      <c r="D98" s="33">
        <v>54</v>
      </c>
      <c r="E98" s="33">
        <v>137.19999999999999</v>
      </c>
      <c r="F98" s="34">
        <v>269</v>
      </c>
      <c r="G98" s="33">
        <v>80</v>
      </c>
      <c r="H98" s="35">
        <v>15</v>
      </c>
      <c r="I98" s="36">
        <v>0.83160000000000001</v>
      </c>
      <c r="J98" s="36">
        <v>223.7</v>
      </c>
      <c r="K98" s="37" t="s">
        <v>350</v>
      </c>
      <c r="L98" s="37" t="s">
        <v>351</v>
      </c>
      <c r="M98" s="38"/>
      <c r="N98" s="3"/>
      <c r="O98" s="33">
        <v>401032</v>
      </c>
    </row>
    <row r="99" spans="1:15" ht="17.45" customHeight="1" x14ac:dyDescent="0.25">
      <c r="A99" s="31">
        <v>84</v>
      </c>
      <c r="B99" s="32" t="s">
        <v>352</v>
      </c>
      <c r="C99" s="31" t="s">
        <v>124</v>
      </c>
      <c r="D99" s="33">
        <v>55</v>
      </c>
      <c r="E99" s="33">
        <v>139.69999999999999</v>
      </c>
      <c r="F99" s="34">
        <v>434</v>
      </c>
      <c r="G99" s="33">
        <v>80</v>
      </c>
      <c r="H99" s="35">
        <v>16</v>
      </c>
      <c r="I99" s="36">
        <v>0.84699999999999998</v>
      </c>
      <c r="J99" s="36">
        <v>367.6</v>
      </c>
      <c r="K99" s="37" t="s">
        <v>353</v>
      </c>
      <c r="L99" s="37" t="s">
        <v>354</v>
      </c>
      <c r="M99" s="38"/>
      <c r="N99" s="3"/>
      <c r="O99" s="33">
        <v>401032</v>
      </c>
    </row>
    <row r="100" spans="1:15" ht="17.45" customHeight="1" x14ac:dyDescent="0.25">
      <c r="A100" s="31">
        <v>85</v>
      </c>
      <c r="B100" s="32" t="s">
        <v>355</v>
      </c>
      <c r="C100" s="31" t="s">
        <v>132</v>
      </c>
      <c r="D100" s="33">
        <v>58</v>
      </c>
      <c r="E100" s="33">
        <v>147.30000000000001</v>
      </c>
      <c r="F100" s="34">
        <v>162</v>
      </c>
      <c r="G100" s="33">
        <v>80</v>
      </c>
      <c r="H100" s="35">
        <v>9</v>
      </c>
      <c r="I100" s="36">
        <v>0.89319999999999999</v>
      </c>
      <c r="J100" s="36">
        <v>144.69999999999999</v>
      </c>
      <c r="K100" s="37" t="s">
        <v>356</v>
      </c>
      <c r="L100" s="37" t="s">
        <v>357</v>
      </c>
      <c r="M100" s="38"/>
      <c r="N100" s="3"/>
      <c r="O100" s="33">
        <v>401032</v>
      </c>
    </row>
    <row r="101" spans="1:15" ht="17.45" customHeight="1" x14ac:dyDescent="0.25">
      <c r="A101" s="31">
        <v>86</v>
      </c>
      <c r="B101" s="32" t="s">
        <v>358</v>
      </c>
      <c r="C101" s="31" t="s">
        <v>136</v>
      </c>
      <c r="D101" s="33">
        <v>59</v>
      </c>
      <c r="E101" s="33">
        <v>149.9</v>
      </c>
      <c r="F101" s="34">
        <v>142</v>
      </c>
      <c r="G101" s="33">
        <v>80</v>
      </c>
      <c r="H101" s="35">
        <v>4</v>
      </c>
      <c r="I101" s="36">
        <v>0.90859999999999996</v>
      </c>
      <c r="J101" s="36">
        <v>129.02000000000001</v>
      </c>
      <c r="K101" s="37" t="s">
        <v>359</v>
      </c>
      <c r="L101" s="37" t="s">
        <v>360</v>
      </c>
      <c r="M101" s="38"/>
      <c r="N101" s="3"/>
      <c r="O101" s="33">
        <v>401032</v>
      </c>
    </row>
    <row r="102" spans="1:15" ht="17.45" customHeight="1" x14ac:dyDescent="0.25">
      <c r="A102" s="31">
        <v>87</v>
      </c>
      <c r="B102" s="32" t="s">
        <v>361</v>
      </c>
      <c r="C102" s="31" t="s">
        <v>140</v>
      </c>
      <c r="D102" s="33">
        <v>60</v>
      </c>
      <c r="E102" s="33">
        <v>152.4</v>
      </c>
      <c r="F102" s="34">
        <v>270</v>
      </c>
      <c r="G102" s="33">
        <v>60</v>
      </c>
      <c r="H102" s="35">
        <v>8</v>
      </c>
      <c r="I102" s="36">
        <v>0.92400000000000004</v>
      </c>
      <c r="J102" s="36">
        <v>249.48</v>
      </c>
      <c r="K102" s="37" t="s">
        <v>362</v>
      </c>
      <c r="L102" s="37" t="s">
        <v>363</v>
      </c>
      <c r="M102" s="38"/>
      <c r="N102" s="3"/>
      <c r="O102" s="33">
        <v>401032</v>
      </c>
    </row>
    <row r="103" spans="1:15" ht="17.45" customHeight="1" x14ac:dyDescent="0.25">
      <c r="A103" s="31">
        <v>88</v>
      </c>
      <c r="B103" s="32" t="s">
        <v>364</v>
      </c>
      <c r="C103" s="31" t="s">
        <v>144</v>
      </c>
      <c r="D103" s="33">
        <v>61</v>
      </c>
      <c r="E103" s="33">
        <v>154.9</v>
      </c>
      <c r="F103" s="34">
        <v>189</v>
      </c>
      <c r="G103" s="33">
        <v>60</v>
      </c>
      <c r="H103" s="35">
        <v>7</v>
      </c>
      <c r="I103" s="36">
        <v>0.93940000000000001</v>
      </c>
      <c r="J103" s="36">
        <v>177.55</v>
      </c>
      <c r="K103" s="37" t="s">
        <v>365</v>
      </c>
      <c r="L103" s="37" t="s">
        <v>366</v>
      </c>
      <c r="M103" s="38"/>
      <c r="N103" s="3"/>
      <c r="O103" s="33">
        <v>401032</v>
      </c>
    </row>
    <row r="104" spans="1:15" ht="17.45" customHeight="1" x14ac:dyDescent="0.25">
      <c r="A104" s="31">
        <v>89</v>
      </c>
      <c r="B104" s="32" t="s">
        <v>367</v>
      </c>
      <c r="C104" s="31" t="s">
        <v>148</v>
      </c>
      <c r="D104" s="33">
        <v>62</v>
      </c>
      <c r="E104" s="33">
        <v>157.5</v>
      </c>
      <c r="F104" s="34">
        <v>181</v>
      </c>
      <c r="G104" s="33">
        <v>60</v>
      </c>
      <c r="H104" s="35">
        <v>7</v>
      </c>
      <c r="I104" s="36">
        <v>0.95479999999999998</v>
      </c>
      <c r="J104" s="36">
        <v>172.82</v>
      </c>
      <c r="K104" s="37" t="s">
        <v>368</v>
      </c>
      <c r="L104" s="37" t="s">
        <v>369</v>
      </c>
      <c r="M104" s="38"/>
      <c r="N104" s="3"/>
      <c r="O104" s="33">
        <v>401032</v>
      </c>
    </row>
    <row r="105" spans="1:15" ht="17.45" customHeight="1" x14ac:dyDescent="0.25">
      <c r="A105" s="31">
        <v>90</v>
      </c>
      <c r="B105" s="32" t="s">
        <v>370</v>
      </c>
      <c r="C105" s="31" t="s">
        <v>371</v>
      </c>
      <c r="D105" s="33">
        <v>64</v>
      </c>
      <c r="E105" s="33">
        <v>162.6</v>
      </c>
      <c r="F105" s="34">
        <v>186</v>
      </c>
      <c r="G105" s="33">
        <v>60</v>
      </c>
      <c r="H105" s="35">
        <v>4</v>
      </c>
      <c r="I105" s="36">
        <v>0.98560000000000003</v>
      </c>
      <c r="J105" s="36">
        <v>183.32</v>
      </c>
      <c r="K105" s="37" t="s">
        <v>372</v>
      </c>
      <c r="L105" s="37" t="s">
        <v>373</v>
      </c>
      <c r="M105" s="38"/>
      <c r="N105" s="3"/>
      <c r="O105" s="33">
        <v>401032</v>
      </c>
    </row>
    <row r="106" spans="1:15" ht="17.45" customHeight="1" x14ac:dyDescent="0.25">
      <c r="A106" s="31">
        <v>91</v>
      </c>
      <c r="B106" s="32" t="s">
        <v>374</v>
      </c>
      <c r="C106" s="31" t="s">
        <v>156</v>
      </c>
      <c r="D106" s="33">
        <v>65</v>
      </c>
      <c r="E106" s="33">
        <v>165.1</v>
      </c>
      <c r="F106" s="34">
        <v>241</v>
      </c>
      <c r="G106" s="33">
        <v>60</v>
      </c>
      <c r="H106" s="35">
        <v>7</v>
      </c>
      <c r="I106" s="36">
        <v>1.0009999999999999</v>
      </c>
      <c r="J106" s="36">
        <v>241.24</v>
      </c>
      <c r="K106" s="37" t="s">
        <v>375</v>
      </c>
      <c r="L106" s="37" t="s">
        <v>376</v>
      </c>
      <c r="M106" s="38"/>
      <c r="N106" s="3"/>
      <c r="O106" s="33">
        <v>401032</v>
      </c>
    </row>
    <row r="107" spans="1:15" ht="17.45" customHeight="1" x14ac:dyDescent="0.25">
      <c r="A107" s="31">
        <v>92</v>
      </c>
      <c r="B107" s="32" t="s">
        <v>377</v>
      </c>
      <c r="C107" s="31" t="s">
        <v>378</v>
      </c>
      <c r="D107" s="33">
        <v>66</v>
      </c>
      <c r="E107" s="33">
        <v>167.6</v>
      </c>
      <c r="F107" s="34">
        <v>135</v>
      </c>
      <c r="G107" s="33">
        <v>60</v>
      </c>
      <c r="H107" s="35">
        <v>3</v>
      </c>
      <c r="I107" s="36">
        <v>1.0164</v>
      </c>
      <c r="J107" s="36">
        <v>137.21</v>
      </c>
      <c r="K107" s="37" t="s">
        <v>379</v>
      </c>
      <c r="L107" s="37" t="s">
        <v>380</v>
      </c>
      <c r="M107" s="38"/>
      <c r="N107" s="3"/>
      <c r="O107" s="33">
        <v>401032</v>
      </c>
    </row>
    <row r="108" spans="1:15" ht="17.45" customHeight="1" x14ac:dyDescent="0.25">
      <c r="A108" s="31">
        <v>93</v>
      </c>
      <c r="B108" s="32" t="s">
        <v>381</v>
      </c>
      <c r="C108" s="31" t="s">
        <v>160</v>
      </c>
      <c r="D108" s="33">
        <v>67</v>
      </c>
      <c r="E108" s="33">
        <v>170.2</v>
      </c>
      <c r="F108" s="34">
        <v>135</v>
      </c>
      <c r="G108" s="33">
        <v>60</v>
      </c>
      <c r="H108" s="35">
        <v>5</v>
      </c>
      <c r="I108" s="36">
        <v>1.0318000000000001</v>
      </c>
      <c r="J108" s="36">
        <v>139.29</v>
      </c>
      <c r="K108" s="37" t="s">
        <v>382</v>
      </c>
      <c r="L108" s="37" t="s">
        <v>383</v>
      </c>
      <c r="M108" s="38"/>
      <c r="N108" s="3"/>
      <c r="O108" s="33">
        <v>401032</v>
      </c>
    </row>
    <row r="109" spans="1:15" ht="17.45" customHeight="1" x14ac:dyDescent="0.25">
      <c r="A109" s="31">
        <v>94</v>
      </c>
      <c r="B109" s="32" t="s">
        <v>384</v>
      </c>
      <c r="C109" s="31" t="s">
        <v>164</v>
      </c>
      <c r="D109" s="33">
        <v>68</v>
      </c>
      <c r="E109" s="33">
        <v>172.7</v>
      </c>
      <c r="F109" s="34">
        <v>135</v>
      </c>
      <c r="G109" s="33">
        <v>63</v>
      </c>
      <c r="H109" s="35">
        <v>4</v>
      </c>
      <c r="I109" s="36">
        <v>1.0471999999999999</v>
      </c>
      <c r="J109" s="36">
        <v>141.37</v>
      </c>
      <c r="K109" s="37" t="s">
        <v>385</v>
      </c>
      <c r="L109" s="37" t="s">
        <v>386</v>
      </c>
      <c r="M109" s="38"/>
      <c r="N109" s="3"/>
      <c r="O109" s="33">
        <v>401032</v>
      </c>
    </row>
    <row r="110" spans="1:15" ht="17.45" customHeight="1" x14ac:dyDescent="0.25">
      <c r="A110" s="25" t="s">
        <v>387</v>
      </c>
      <c r="B110" s="26"/>
      <c r="C110" s="26"/>
      <c r="D110" s="26"/>
      <c r="E110" s="26"/>
      <c r="F110" s="27">
        <f>SUM(F111:F115)</f>
        <v>522</v>
      </c>
      <c r="G110" s="28"/>
      <c r="H110" s="27">
        <f>SUM(H111:H115)</f>
        <v>40</v>
      </c>
      <c r="I110" s="29"/>
      <c r="J110" s="30"/>
      <c r="K110" s="30"/>
      <c r="L110" s="30"/>
      <c r="M110" s="30"/>
      <c r="N110" s="3"/>
      <c r="O110" s="30"/>
    </row>
    <row r="111" spans="1:15" ht="17.45" customHeight="1" x14ac:dyDescent="0.25">
      <c r="A111" s="31">
        <v>95</v>
      </c>
      <c r="B111" s="32" t="s">
        <v>388</v>
      </c>
      <c r="C111" s="31" t="s">
        <v>181</v>
      </c>
      <c r="D111" s="33">
        <v>73</v>
      </c>
      <c r="E111" s="33">
        <v>185.4</v>
      </c>
      <c r="F111" s="34">
        <v>93</v>
      </c>
      <c r="G111" s="33">
        <v>50</v>
      </c>
      <c r="H111" s="35">
        <v>9</v>
      </c>
      <c r="I111" s="36">
        <v>1.1242000000000001</v>
      </c>
      <c r="J111" s="36">
        <v>104.55</v>
      </c>
      <c r="K111" s="37" t="s">
        <v>389</v>
      </c>
      <c r="L111" s="37" t="s">
        <v>390</v>
      </c>
      <c r="M111" s="38"/>
      <c r="N111" s="3"/>
      <c r="O111" s="33">
        <v>401034</v>
      </c>
    </row>
    <row r="112" spans="1:15" ht="17.45" customHeight="1" x14ac:dyDescent="0.25">
      <c r="A112" s="31">
        <v>96</v>
      </c>
      <c r="B112" s="32" t="s">
        <v>391</v>
      </c>
      <c r="C112" s="31" t="s">
        <v>185</v>
      </c>
      <c r="D112" s="33">
        <v>74</v>
      </c>
      <c r="E112" s="33">
        <v>188</v>
      </c>
      <c r="F112" s="34">
        <v>108</v>
      </c>
      <c r="G112" s="33">
        <v>54</v>
      </c>
      <c r="H112" s="35">
        <v>4</v>
      </c>
      <c r="I112" s="36">
        <v>1.1395999999999999</v>
      </c>
      <c r="J112" s="36">
        <v>123.08</v>
      </c>
      <c r="K112" s="37" t="s">
        <v>392</v>
      </c>
      <c r="L112" s="37" t="s">
        <v>393</v>
      </c>
      <c r="M112" s="38"/>
      <c r="N112" s="3"/>
      <c r="O112" s="33">
        <v>401034</v>
      </c>
    </row>
    <row r="113" spans="1:15" ht="17.45" customHeight="1" x14ac:dyDescent="0.25">
      <c r="A113" s="31">
        <v>97</v>
      </c>
      <c r="B113" s="32" t="s">
        <v>394</v>
      </c>
      <c r="C113" s="31" t="s">
        <v>189</v>
      </c>
      <c r="D113" s="33">
        <v>75</v>
      </c>
      <c r="E113" s="33">
        <v>190.5</v>
      </c>
      <c r="F113" s="34">
        <v>108</v>
      </c>
      <c r="G113" s="33">
        <v>50</v>
      </c>
      <c r="H113" s="35">
        <v>9</v>
      </c>
      <c r="I113" s="36">
        <v>1.155</v>
      </c>
      <c r="J113" s="36">
        <v>124.74</v>
      </c>
      <c r="K113" s="37" t="s">
        <v>395</v>
      </c>
      <c r="L113" s="37" t="s">
        <v>396</v>
      </c>
      <c r="M113" s="38"/>
      <c r="N113" s="3"/>
      <c r="O113" s="33">
        <v>401034</v>
      </c>
    </row>
    <row r="114" spans="1:15" ht="17.45" customHeight="1" x14ac:dyDescent="0.25">
      <c r="A114" s="31">
        <v>98</v>
      </c>
      <c r="B114" s="32" t="s">
        <v>397</v>
      </c>
      <c r="C114" s="31" t="s">
        <v>193</v>
      </c>
      <c r="D114" s="33">
        <v>76</v>
      </c>
      <c r="E114" s="33">
        <v>193</v>
      </c>
      <c r="F114" s="34">
        <v>159</v>
      </c>
      <c r="G114" s="33">
        <v>50</v>
      </c>
      <c r="H114" s="35">
        <v>11</v>
      </c>
      <c r="I114" s="36">
        <v>1.1704000000000001</v>
      </c>
      <c r="J114" s="36">
        <v>186.09</v>
      </c>
      <c r="K114" s="37" t="s">
        <v>398</v>
      </c>
      <c r="L114" s="37" t="s">
        <v>399</v>
      </c>
      <c r="M114" s="38"/>
      <c r="N114" s="3"/>
      <c r="O114" s="33">
        <v>401034</v>
      </c>
    </row>
    <row r="115" spans="1:15" ht="17.45" customHeight="1" x14ac:dyDescent="0.25">
      <c r="A115" s="31">
        <v>99</v>
      </c>
      <c r="B115" s="32" t="s">
        <v>400</v>
      </c>
      <c r="C115" s="31" t="s">
        <v>197</v>
      </c>
      <c r="D115" s="33">
        <v>77</v>
      </c>
      <c r="E115" s="33">
        <v>195.6</v>
      </c>
      <c r="F115" s="34">
        <v>54</v>
      </c>
      <c r="G115" s="33">
        <v>50</v>
      </c>
      <c r="H115" s="35">
        <v>7</v>
      </c>
      <c r="I115" s="36">
        <v>1.1858</v>
      </c>
      <c r="J115" s="36">
        <v>64.03</v>
      </c>
      <c r="K115" s="37" t="s">
        <v>401</v>
      </c>
      <c r="L115" s="37" t="s">
        <v>402</v>
      </c>
      <c r="M115" s="38"/>
      <c r="N115" s="3"/>
      <c r="O115" s="33">
        <v>401034</v>
      </c>
    </row>
    <row r="116" spans="1:15" ht="17.45" customHeight="1" x14ac:dyDescent="0.25">
      <c r="A116" s="25" t="s">
        <v>403</v>
      </c>
      <c r="B116" s="26"/>
      <c r="C116" s="26"/>
      <c r="D116" s="26"/>
      <c r="E116" s="26"/>
      <c r="F116" s="27">
        <f>SUM(F117:F118)</f>
        <v>135</v>
      </c>
      <c r="G116" s="28"/>
      <c r="H116" s="27">
        <f>SUM(H117:H118)</f>
        <v>4</v>
      </c>
      <c r="I116" s="29"/>
      <c r="J116" s="30"/>
      <c r="K116" s="30"/>
      <c r="L116" s="30"/>
      <c r="M116" s="30"/>
      <c r="N116" s="3"/>
      <c r="O116" s="30"/>
    </row>
    <row r="117" spans="1:15" ht="17.45" customHeight="1" x14ac:dyDescent="0.25">
      <c r="A117" s="31">
        <v>100</v>
      </c>
      <c r="B117" s="32" t="s">
        <v>404</v>
      </c>
      <c r="C117" s="31" t="s">
        <v>405</v>
      </c>
      <c r="D117" s="33">
        <v>95</v>
      </c>
      <c r="E117" s="33">
        <v>241.3</v>
      </c>
      <c r="F117" s="34">
        <v>27</v>
      </c>
      <c r="G117" s="33">
        <v>27</v>
      </c>
      <c r="H117" s="35">
        <v>1</v>
      </c>
      <c r="I117" s="36">
        <v>1.4630000000000001</v>
      </c>
      <c r="J117" s="36">
        <v>39.5</v>
      </c>
      <c r="K117" s="37" t="s">
        <v>406</v>
      </c>
      <c r="L117" s="37" t="s">
        <v>407</v>
      </c>
      <c r="M117" s="38"/>
      <c r="N117" s="3"/>
      <c r="O117" s="33">
        <v>401039</v>
      </c>
    </row>
    <row r="118" spans="1:15" ht="17.45" customHeight="1" x14ac:dyDescent="0.25">
      <c r="A118" s="31">
        <v>101</v>
      </c>
      <c r="B118" s="32" t="s">
        <v>408</v>
      </c>
      <c r="C118" s="31" t="s">
        <v>409</v>
      </c>
      <c r="D118" s="33">
        <v>97</v>
      </c>
      <c r="E118" s="33">
        <v>246.4</v>
      </c>
      <c r="F118" s="34">
        <v>108</v>
      </c>
      <c r="G118" s="33">
        <v>40</v>
      </c>
      <c r="H118" s="35">
        <v>3</v>
      </c>
      <c r="I118" s="36">
        <v>1.4938</v>
      </c>
      <c r="J118" s="36">
        <v>161.33000000000001</v>
      </c>
      <c r="K118" s="37" t="s">
        <v>410</v>
      </c>
      <c r="L118" s="37" t="s">
        <v>411</v>
      </c>
      <c r="M118" s="38"/>
      <c r="N118" s="3"/>
      <c r="O118" s="33">
        <v>401039</v>
      </c>
    </row>
    <row r="119" spans="1:15" ht="17.45" customHeight="1" x14ac:dyDescent="0.25">
      <c r="A119" s="25" t="s">
        <v>412</v>
      </c>
      <c r="B119" s="26"/>
      <c r="C119" s="26"/>
      <c r="D119" s="26"/>
      <c r="E119" s="26"/>
      <c r="F119" s="27">
        <f>SUM(F120:F121)</f>
        <v>518</v>
      </c>
      <c r="G119" s="28"/>
      <c r="H119" s="27">
        <f>SUM(H120:H121)</f>
        <v>18</v>
      </c>
      <c r="I119" s="29"/>
      <c r="J119" s="30"/>
      <c r="K119" s="30"/>
      <c r="L119" s="30"/>
      <c r="M119" s="30"/>
      <c r="N119" s="3"/>
      <c r="O119" s="30"/>
    </row>
    <row r="120" spans="1:15" ht="17.45" customHeight="1" x14ac:dyDescent="0.25">
      <c r="A120" s="31">
        <v>102</v>
      </c>
      <c r="B120" s="32" t="s">
        <v>413</v>
      </c>
      <c r="C120" s="31" t="s">
        <v>414</v>
      </c>
      <c r="D120" s="33">
        <v>75</v>
      </c>
      <c r="E120" s="33">
        <v>190.5</v>
      </c>
      <c r="F120" s="34">
        <v>312</v>
      </c>
      <c r="G120" s="33">
        <v>30</v>
      </c>
      <c r="H120" s="35">
        <v>11</v>
      </c>
      <c r="I120" s="36">
        <v>2.2942499999999999</v>
      </c>
      <c r="J120" s="36">
        <v>715.81</v>
      </c>
      <c r="K120" s="37" t="s">
        <v>415</v>
      </c>
      <c r="L120" s="37" t="s">
        <v>416</v>
      </c>
      <c r="M120" s="38"/>
      <c r="N120" s="3"/>
      <c r="O120" s="33">
        <v>401034</v>
      </c>
    </row>
    <row r="121" spans="1:15" ht="17.45" customHeight="1" x14ac:dyDescent="0.25">
      <c r="A121" s="31">
        <v>103</v>
      </c>
      <c r="B121" s="32" t="s">
        <v>417</v>
      </c>
      <c r="C121" s="31" t="s">
        <v>418</v>
      </c>
      <c r="D121" s="33">
        <v>78</v>
      </c>
      <c r="E121" s="33">
        <v>198.1</v>
      </c>
      <c r="F121" s="34">
        <v>206</v>
      </c>
      <c r="G121" s="33">
        <v>30</v>
      </c>
      <c r="H121" s="35">
        <v>7</v>
      </c>
      <c r="I121" s="36">
        <v>2.3860199999999998</v>
      </c>
      <c r="J121" s="36">
        <v>491.52</v>
      </c>
      <c r="K121" s="37" t="s">
        <v>419</v>
      </c>
      <c r="L121" s="37" t="s">
        <v>420</v>
      </c>
      <c r="M121" s="38"/>
      <c r="N121" s="3"/>
      <c r="O121" s="33">
        <v>401034</v>
      </c>
    </row>
    <row r="122" spans="1:15" ht="17.45" customHeight="1" x14ac:dyDescent="0.25">
      <c r="A122" s="39" t="s">
        <v>421</v>
      </c>
      <c r="B122" s="39"/>
      <c r="C122" s="39"/>
      <c r="D122" s="39"/>
      <c r="E122" s="39"/>
      <c r="F122" s="40">
        <f>SUMPRODUCT(ISNUMBER(A14:A121)*F14:F121)</f>
        <v>39608</v>
      </c>
      <c r="G122" s="41"/>
      <c r="H122" s="40">
        <v>460</v>
      </c>
      <c r="I122" s="42"/>
      <c r="J122" s="42">
        <f>SUMPRODUCT(ISNUMBER(A14:A121)*J14:J121)</f>
        <v>34174.019999999997</v>
      </c>
      <c r="K122" s="43"/>
      <c r="L122" s="43"/>
      <c r="M122" s="43"/>
      <c r="N122" s="43"/>
      <c r="O122" s="43"/>
    </row>
    <row r="123" spans="1:15" ht="17.45" customHeight="1" x14ac:dyDescent="0.25">
      <c r="A123" s="44" t="s">
        <v>422</v>
      </c>
      <c r="B123" s="44"/>
      <c r="C123" s="44"/>
      <c r="D123" s="44"/>
      <c r="E123" s="44"/>
      <c r="F123" s="44"/>
      <c r="G123" s="44"/>
      <c r="H123" s="44"/>
      <c r="I123" s="44"/>
      <c r="J123" s="44"/>
      <c r="K123" s="45"/>
      <c r="L123" s="45"/>
      <c r="M123" s="46"/>
      <c r="N123" s="3"/>
      <c r="O123" s="47"/>
    </row>
  </sheetData>
  <mergeCells count="23">
    <mergeCell ref="A116:E116"/>
    <mergeCell ref="A119:E119"/>
    <mergeCell ref="A122:E122"/>
    <mergeCell ref="K122:O122"/>
    <mergeCell ref="A123:J123"/>
    <mergeCell ref="A10:J10"/>
    <mergeCell ref="A11:J11"/>
    <mergeCell ref="A13:E13"/>
    <mergeCell ref="A50:E50"/>
    <mergeCell ref="A60:E60"/>
    <mergeCell ref="A110:E110"/>
    <mergeCell ref="A7:D7"/>
    <mergeCell ref="E7:J7"/>
    <mergeCell ref="A8:D8"/>
    <mergeCell ref="E8:J8"/>
    <mergeCell ref="A9:D9"/>
    <mergeCell ref="E9:J9"/>
    <mergeCell ref="A1:J1"/>
    <mergeCell ref="A2:J2"/>
    <mergeCell ref="A5:D5"/>
    <mergeCell ref="E5:J5"/>
    <mergeCell ref="A6:D6"/>
    <mergeCell ref="E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2026-09-08T02:02:02Z</dcterms:created>
  <dcterms:modified xsi:type="dcterms:W3CDTF">2026-09-08T02:02:03Z</dcterms:modified>
</cp:coreProperties>
</file>